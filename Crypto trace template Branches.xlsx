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xr:revisionPtr revIDLastSave="0" documentId="8_{0A1850E2-FF0A-4EEB-9700-26C54ACF39F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Trace" sheetId="1" r:id="rId1"/>
    <sheet name="Flow Summary" sheetId="2" r:id="rId2"/>
  </sheets>
  <definedNames>
    <definedName name="_xlnm._FilterDatabase" localSheetId="0" hidden="1">Trace!$A$2:$Z$14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" i="1" l="1"/>
  <c r="X13" i="1"/>
  <c r="X12" i="1"/>
  <c r="X11" i="1"/>
  <c r="X10" i="1"/>
  <c r="X9" i="1"/>
  <c r="X8" i="1"/>
  <c r="X7" i="1"/>
  <c r="X6" i="1"/>
  <c r="X5" i="1"/>
  <c r="X4" i="1"/>
  <c r="X3" i="1"/>
</calcChain>
</file>

<file path=xl/sharedStrings.xml><?xml version="1.0" encoding="utf-8"?>
<sst xmlns="http://schemas.openxmlformats.org/spreadsheetml/2006/main" count="240" uniqueCount="119">
  <si>
    <t>Crypto Funds Trace Example (Mock Data) - Branching + Commingling</t>
  </si>
  <si>
    <t>Step</t>
  </si>
  <si>
    <t>Flow ID</t>
  </si>
  <si>
    <t>Parent Flow ID</t>
  </si>
  <si>
    <t>Sequence</t>
  </si>
  <si>
    <t>Event Type</t>
  </si>
  <si>
    <t>Transaction Date/Time (UTC)</t>
  </si>
  <si>
    <t>Block Number</t>
  </si>
  <si>
    <t>Transaction Hash</t>
  </si>
  <si>
    <t>From Address</t>
  </si>
  <si>
    <t>From Label</t>
  </si>
  <si>
    <t>From Category</t>
  </si>
  <si>
    <t>To Address</t>
  </si>
  <si>
    <t>To Label</t>
  </si>
  <si>
    <t>To Category</t>
  </si>
  <si>
    <t>Asset</t>
  </si>
  <si>
    <t>Asset Name</t>
  </si>
  <si>
    <t>Token Contract Address</t>
  </si>
  <si>
    <t>Amount</t>
  </si>
  <si>
    <t>Traced Amount</t>
  </si>
  <si>
    <t>Allocation Method</t>
  </si>
  <si>
    <t>USD Value at Time</t>
  </si>
  <si>
    <t>Gas Price (Gwei)</t>
  </si>
  <si>
    <t>Gas Used</t>
  </si>
  <si>
    <t>Transaction Fee (ETH)</t>
  </si>
  <si>
    <t>Forensic Notes</t>
  </si>
  <si>
    <t>Risk Level</t>
  </si>
  <si>
    <t>A</t>
  </si>
  <si>
    <t>FULL_TRANSFER</t>
  </si>
  <si>
    <t>0xaaa0...</t>
  </si>
  <si>
    <t>0xVictim</t>
  </si>
  <si>
    <t>Victim Wallet</t>
  </si>
  <si>
    <t>Victim</t>
  </si>
  <si>
    <t>0xScam</t>
  </si>
  <si>
    <t>Investment Scam Address</t>
  </si>
  <si>
    <t>Scam Deposit</t>
  </si>
  <si>
    <t>ETH</t>
  </si>
  <si>
    <t>Ethereum</t>
  </si>
  <si>
    <t>Full</t>
  </si>
  <si>
    <t>Victim sends funds to scam deposit address</t>
  </si>
  <si>
    <t>High</t>
  </si>
  <si>
    <t>0xaaa1...</t>
  </si>
  <si>
    <t>Scam</t>
  </si>
  <si>
    <t>0xOps1</t>
  </si>
  <si>
    <t>Scam Operations Wallet 1</t>
  </si>
  <si>
    <t>Operations</t>
  </si>
  <si>
    <t>Scam consolidates victim funds to operations wallet</t>
  </si>
  <si>
    <t>A.1</t>
  </si>
  <si>
    <t>SPLIT_OUT</t>
  </si>
  <si>
    <t>0xbbb1...</t>
  </si>
  <si>
    <t>0xOps2</t>
  </si>
  <si>
    <t>Scam Operations Wallet 2</t>
  </si>
  <si>
    <t>Split branch A.1 created (60% of traced funds)</t>
  </si>
  <si>
    <t>A.2</t>
  </si>
  <si>
    <t>0xccc1...</t>
  </si>
  <si>
    <t>0xPersonal</t>
  </si>
  <si>
    <t>Scammer Personal Wallet</t>
  </si>
  <si>
    <t>Personal</t>
  </si>
  <si>
    <t>Split branch A.2 created (40% of traced funds)</t>
  </si>
  <si>
    <t>0xbbb2...</t>
  </si>
  <si>
    <t>0xTrading</t>
  </si>
  <si>
    <t>Scam Trading Wallet</t>
  </si>
  <si>
    <t>Trading</t>
  </si>
  <si>
    <t>Funds routed to trading wallet</t>
  </si>
  <si>
    <t>SWAP_OUT</t>
  </si>
  <si>
    <t>0xbbb3...</t>
  </si>
  <si>
    <t>0xUniswapRouter</t>
  </si>
  <si>
    <t>Uniswap Router</t>
  </si>
  <si>
    <t>DEX</t>
  </si>
  <si>
    <t>Swap initiated (ETH leg)</t>
  </si>
  <si>
    <t>Medium</t>
  </si>
  <si>
    <t>SWAP_IN</t>
  </si>
  <si>
    <t>0xUniswapPool</t>
  </si>
  <si>
    <t>Uniswap Pool</t>
  </si>
  <si>
    <t>UNI</t>
  </si>
  <si>
    <t>Uniswap</t>
  </si>
  <si>
    <t>0x1f9840a85d5af5bf1d1762f925bdaddc4201f984</t>
  </si>
  <si>
    <t>Swap completed (UNI received)</t>
  </si>
  <si>
    <t>COMMINGLE_IN</t>
  </si>
  <si>
    <t>0xbbb4...</t>
  </si>
  <si>
    <t>0xUnrelated</t>
  </si>
  <si>
    <t>Unrelated Wallet</t>
  </si>
  <si>
    <t>Unrelated Funds</t>
  </si>
  <si>
    <t>None</t>
  </si>
  <si>
    <t>Unrelated UNI added to 0xTrading (pool now commingled)</t>
  </si>
  <si>
    <t>Low</t>
  </si>
  <si>
    <t>COMMINGLE_OUT</t>
  </si>
  <si>
    <t>0xbbb5...</t>
  </si>
  <si>
    <t>0xNewWallet</t>
  </si>
  <si>
    <t>Intermediary Wallet (Post-Commingle)</t>
  </si>
  <si>
    <t>Intermediary</t>
  </si>
  <si>
    <t>Pro-rata</t>
  </si>
  <si>
    <t>Pro-rata allocation: 150k/200k = 75% traced; 80k out =&gt; 60k traced</t>
  </si>
  <si>
    <t>A.1.1</t>
  </si>
  <si>
    <t>Inherits</t>
  </si>
  <si>
    <t>Child flow created to continue trace of traced portion</t>
  </si>
  <si>
    <t>DCE_DEPOSIT</t>
  </si>
  <si>
    <t>0xccc2...</t>
  </si>
  <si>
    <t>0xCEXDeposit</t>
  </si>
  <si>
    <t>CEX Deposit Address</t>
  </si>
  <si>
    <t>DCE</t>
  </si>
  <si>
    <t>Deposit to DCE for potential off-ramp (notice candidate)</t>
  </si>
  <si>
    <t>Critical</t>
  </si>
  <si>
    <t>0xddd1...</t>
  </si>
  <si>
    <t>0xCEXDeposit2</t>
  </si>
  <si>
    <t>CEX Deposit Address (UNI)</t>
  </si>
  <si>
    <t>Traced portion reaches DCE deposit (notice candidate)</t>
  </si>
  <si>
    <t>Traced Start</t>
  </si>
  <si>
    <t>Current Asset</t>
  </si>
  <si>
    <t>Current Location</t>
  </si>
  <si>
    <t>Status</t>
  </si>
  <si>
    <t>Key Note</t>
  </si>
  <si>
    <t>Split</t>
  </si>
  <si>
    <t>Root flow: victim funds reached ops wallet, then split</t>
  </si>
  <si>
    <t>0xTrading (commingled) / 0xNewWallet</t>
  </si>
  <si>
    <t>Split + Commingled</t>
  </si>
  <si>
    <t>Swap to UNI then commingle; pro-rata traced outflow</t>
  </si>
  <si>
    <t>Traced portion reached DCE deposit</t>
  </si>
  <si>
    <t>Direct deposit to DCE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</si>
</sst>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,##0.000000"/>
    <numFmt numFmtId="166" formatCode="\$#,##0.00"/>
    <numFmt numFmtId="167" formatCode="0.0"/>
    <numFmt numFmtId="168" formatCode="0.00000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67" fontId="0" fillId="0" borderId="1" xfId="0" applyNumberFormat="1" applyBorder="1" applyAlignment="1">
      <alignment vertical="top"/>
    </xf>
    <xf numFmtId="168" fontId="0" fillId="0" borderId="1" xfId="0" applyNumberFormat="1" applyBorder="1" applyAlignment="1">
      <alignment vertical="top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ECFDF5"/>
        </patternFill>
      </fill>
    </dxf>
    <dxf>
      <fill>
        <patternFill patternType="solid">
          <fgColor rgb="FFE0F2FE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3" width="14" customWidth="1"/>
    <col min="4" max="4" width="9" customWidth="1"/>
    <col min="5" max="5" width="14" customWidth="1"/>
    <col min="6" max="6" width="22" customWidth="1"/>
    <col min="7" max="7" width="12" customWidth="1"/>
    <col min="8" max="8" width="16" customWidth="1"/>
    <col min="9" max="9" width="14" customWidth="1"/>
    <col min="10" max="10" width="22" customWidth="1"/>
    <col min="11" max="11" width="18" customWidth="1"/>
    <col min="12" max="12" width="14" customWidth="1"/>
    <col min="13" max="13" width="24" customWidth="1"/>
    <col min="14" max="14" width="18" customWidth="1"/>
    <col min="15" max="15" width="8" customWidth="1"/>
    <col min="16" max="16" width="12" customWidth="1"/>
    <col min="17" max="17" width="28" customWidth="1"/>
    <col min="18" max="18" width="12" customWidth="1"/>
    <col min="19" max="19" width="13" customWidth="1"/>
    <col min="20" max="21" width="16" customWidth="1"/>
    <col min="22" max="22" width="14" customWidth="1"/>
    <col min="23" max="23" width="10" customWidth="1"/>
    <col min="24" max="24" width="18" customWidth="1"/>
    <col min="25" max="25" width="44" customWidth="1"/>
    <col min="26" max="26" width="10" customWidth="1"/>
  </cols>
  <sheetData>
    <row r="1" spans="1:26" ht="24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38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</row>
    <row r="3" spans="1:26" ht="48" customHeight="1" x14ac:dyDescent="0.25">
      <c r="A3" s="2">
        <v>1</v>
      </c>
      <c r="B3" s="2" t="s">
        <v>27</v>
      </c>
      <c r="C3" s="2"/>
      <c r="D3" s="2">
        <v>0</v>
      </c>
      <c r="E3" s="2" t="s">
        <v>28</v>
      </c>
      <c r="F3" s="3">
        <v>45301.09375</v>
      </c>
      <c r="G3" s="4">
        <v>19000100</v>
      </c>
      <c r="H3" s="2" t="s">
        <v>29</v>
      </c>
      <c r="I3" s="2" t="s">
        <v>30</v>
      </c>
      <c r="J3" s="5" t="s">
        <v>31</v>
      </c>
      <c r="K3" s="5" t="s">
        <v>32</v>
      </c>
      <c r="L3" s="2" t="s">
        <v>33</v>
      </c>
      <c r="M3" s="5" t="s">
        <v>34</v>
      </c>
      <c r="N3" s="5" t="s">
        <v>35</v>
      </c>
      <c r="O3" s="2" t="s">
        <v>36</v>
      </c>
      <c r="P3" s="2" t="s">
        <v>37</v>
      </c>
      <c r="Q3" s="2"/>
      <c r="R3" s="6">
        <v>100</v>
      </c>
      <c r="S3" s="6">
        <v>100</v>
      </c>
      <c r="T3" s="2" t="s">
        <v>38</v>
      </c>
      <c r="U3" s="7">
        <v>240000</v>
      </c>
      <c r="V3" s="8">
        <v>18.2</v>
      </c>
      <c r="W3" s="4">
        <v>21000</v>
      </c>
      <c r="X3" s="9">
        <f t="shared" ref="X3:X14" si="0">(V3*W3)/1000000000</f>
        <v>3.8220000000000002E-4</v>
      </c>
      <c r="Y3" s="5" t="s">
        <v>39</v>
      </c>
      <c r="Z3" s="2" t="s">
        <v>40</v>
      </c>
    </row>
    <row r="4" spans="1:26" ht="48" customHeight="1" x14ac:dyDescent="0.25">
      <c r="A4" s="2">
        <v>2</v>
      </c>
      <c r="B4" s="2" t="s">
        <v>27</v>
      </c>
      <c r="C4" s="2"/>
      <c r="D4" s="2">
        <v>1</v>
      </c>
      <c r="E4" s="2" t="s">
        <v>28</v>
      </c>
      <c r="F4" s="3">
        <v>45301.096898148149</v>
      </c>
      <c r="G4" s="4">
        <v>19000125</v>
      </c>
      <c r="H4" s="2" t="s">
        <v>41</v>
      </c>
      <c r="I4" s="2" t="s">
        <v>33</v>
      </c>
      <c r="J4" s="5" t="s">
        <v>34</v>
      </c>
      <c r="K4" s="5" t="s">
        <v>42</v>
      </c>
      <c r="L4" s="2" t="s">
        <v>43</v>
      </c>
      <c r="M4" s="5" t="s">
        <v>44</v>
      </c>
      <c r="N4" s="5" t="s">
        <v>45</v>
      </c>
      <c r="O4" s="2" t="s">
        <v>36</v>
      </c>
      <c r="P4" s="2" t="s">
        <v>37</v>
      </c>
      <c r="Q4" s="2"/>
      <c r="R4" s="6">
        <v>100</v>
      </c>
      <c r="S4" s="6">
        <v>100</v>
      </c>
      <c r="T4" s="2" t="s">
        <v>38</v>
      </c>
      <c r="U4" s="7">
        <v>239800</v>
      </c>
      <c r="V4" s="8">
        <v>20.5</v>
      </c>
      <c r="W4" s="4">
        <v>21000</v>
      </c>
      <c r="X4" s="9">
        <f t="shared" si="0"/>
        <v>4.305E-4</v>
      </c>
      <c r="Y4" s="5" t="s">
        <v>46</v>
      </c>
      <c r="Z4" s="2" t="s">
        <v>40</v>
      </c>
    </row>
    <row r="5" spans="1:26" ht="48" customHeight="1" x14ac:dyDescent="0.25">
      <c r="A5" s="2">
        <v>3</v>
      </c>
      <c r="B5" s="2" t="s">
        <v>47</v>
      </c>
      <c r="C5" s="2" t="s">
        <v>27</v>
      </c>
      <c r="D5" s="2">
        <v>1</v>
      </c>
      <c r="E5" s="2" t="s">
        <v>48</v>
      </c>
      <c r="F5" s="3">
        <v>45301.114699074067</v>
      </c>
      <c r="G5" s="4">
        <v>19000310</v>
      </c>
      <c r="H5" s="2" t="s">
        <v>49</v>
      </c>
      <c r="I5" s="2" t="s">
        <v>43</v>
      </c>
      <c r="J5" s="5" t="s">
        <v>44</v>
      </c>
      <c r="K5" s="5" t="s">
        <v>45</v>
      </c>
      <c r="L5" s="2" t="s">
        <v>50</v>
      </c>
      <c r="M5" s="5" t="s">
        <v>51</v>
      </c>
      <c r="N5" s="5" t="s">
        <v>45</v>
      </c>
      <c r="O5" s="2" t="s">
        <v>36</v>
      </c>
      <c r="P5" s="2" t="s">
        <v>37</v>
      </c>
      <c r="Q5" s="2"/>
      <c r="R5" s="6">
        <v>60</v>
      </c>
      <c r="S5" s="6">
        <v>60</v>
      </c>
      <c r="T5" s="2" t="s">
        <v>38</v>
      </c>
      <c r="U5" s="7">
        <v>143700</v>
      </c>
      <c r="V5" s="8">
        <v>17.100000000000001</v>
      </c>
      <c r="W5" s="4">
        <v>21000</v>
      </c>
      <c r="X5" s="9">
        <f t="shared" si="0"/>
        <v>3.5910000000000006E-4</v>
      </c>
      <c r="Y5" s="5" t="s">
        <v>52</v>
      </c>
      <c r="Z5" s="2" t="s">
        <v>40</v>
      </c>
    </row>
    <row r="6" spans="1:26" ht="48" customHeight="1" x14ac:dyDescent="0.25">
      <c r="A6" s="2">
        <v>4</v>
      </c>
      <c r="B6" s="2" t="s">
        <v>53</v>
      </c>
      <c r="C6" s="2" t="s">
        <v>27</v>
      </c>
      <c r="D6" s="2">
        <v>1</v>
      </c>
      <c r="E6" s="2" t="s">
        <v>48</v>
      </c>
      <c r="F6" s="3">
        <v>45301.115335648137</v>
      </c>
      <c r="G6" s="4">
        <v>19000315</v>
      </c>
      <c r="H6" s="2" t="s">
        <v>54</v>
      </c>
      <c r="I6" s="2" t="s">
        <v>43</v>
      </c>
      <c r="J6" s="5" t="s">
        <v>44</v>
      </c>
      <c r="K6" s="5" t="s">
        <v>45</v>
      </c>
      <c r="L6" s="2" t="s">
        <v>55</v>
      </c>
      <c r="M6" s="5" t="s">
        <v>56</v>
      </c>
      <c r="N6" s="5" t="s">
        <v>57</v>
      </c>
      <c r="O6" s="2" t="s">
        <v>36</v>
      </c>
      <c r="P6" s="2" t="s">
        <v>37</v>
      </c>
      <c r="Q6" s="2"/>
      <c r="R6" s="6">
        <v>40</v>
      </c>
      <c r="S6" s="6">
        <v>40</v>
      </c>
      <c r="T6" s="2" t="s">
        <v>38</v>
      </c>
      <c r="U6" s="7">
        <v>95800</v>
      </c>
      <c r="V6" s="8">
        <v>17.3</v>
      </c>
      <c r="W6" s="4">
        <v>21000</v>
      </c>
      <c r="X6" s="9">
        <f t="shared" si="0"/>
        <v>3.6329999999999999E-4</v>
      </c>
      <c r="Y6" s="5" t="s">
        <v>58</v>
      </c>
      <c r="Z6" s="2" t="s">
        <v>40</v>
      </c>
    </row>
    <row r="7" spans="1:26" ht="48" customHeight="1" x14ac:dyDescent="0.25">
      <c r="A7" s="2">
        <v>5</v>
      </c>
      <c r="B7" s="2" t="s">
        <v>47</v>
      </c>
      <c r="C7" s="2" t="s">
        <v>27</v>
      </c>
      <c r="D7" s="2">
        <v>2</v>
      </c>
      <c r="E7" s="2" t="s">
        <v>28</v>
      </c>
      <c r="F7" s="3">
        <v>45301.126851851863</v>
      </c>
      <c r="G7" s="4">
        <v>19000405</v>
      </c>
      <c r="H7" s="2" t="s">
        <v>59</v>
      </c>
      <c r="I7" s="2" t="s">
        <v>50</v>
      </c>
      <c r="J7" s="5" t="s">
        <v>51</v>
      </c>
      <c r="K7" s="5" t="s">
        <v>45</v>
      </c>
      <c r="L7" s="2" t="s">
        <v>60</v>
      </c>
      <c r="M7" s="5" t="s">
        <v>61</v>
      </c>
      <c r="N7" s="5" t="s">
        <v>62</v>
      </c>
      <c r="O7" s="2" t="s">
        <v>36</v>
      </c>
      <c r="P7" s="2" t="s">
        <v>37</v>
      </c>
      <c r="Q7" s="2"/>
      <c r="R7" s="6">
        <v>60</v>
      </c>
      <c r="S7" s="6">
        <v>60</v>
      </c>
      <c r="T7" s="2" t="s">
        <v>38</v>
      </c>
      <c r="U7" s="7">
        <v>143400</v>
      </c>
      <c r="V7" s="8">
        <v>16.8</v>
      </c>
      <c r="W7" s="4">
        <v>21000</v>
      </c>
      <c r="X7" s="9">
        <f t="shared" si="0"/>
        <v>3.5280000000000001E-4</v>
      </c>
      <c r="Y7" s="5" t="s">
        <v>63</v>
      </c>
      <c r="Z7" s="2" t="s">
        <v>40</v>
      </c>
    </row>
    <row r="8" spans="1:26" ht="48" customHeight="1" x14ac:dyDescent="0.25">
      <c r="A8" s="2">
        <v>6</v>
      </c>
      <c r="B8" s="2" t="s">
        <v>47</v>
      </c>
      <c r="C8" s="2" t="s">
        <v>27</v>
      </c>
      <c r="D8" s="2">
        <v>3</v>
      </c>
      <c r="E8" s="2" t="s">
        <v>64</v>
      </c>
      <c r="F8" s="3">
        <v>45301.13208333333</v>
      </c>
      <c r="G8" s="4">
        <v>19000452</v>
      </c>
      <c r="H8" s="2" t="s">
        <v>65</v>
      </c>
      <c r="I8" s="2" t="s">
        <v>60</v>
      </c>
      <c r="J8" s="5" t="s">
        <v>61</v>
      </c>
      <c r="K8" s="5" t="s">
        <v>62</v>
      </c>
      <c r="L8" s="2" t="s">
        <v>66</v>
      </c>
      <c r="M8" s="5" t="s">
        <v>67</v>
      </c>
      <c r="N8" s="5" t="s">
        <v>68</v>
      </c>
      <c r="O8" s="2" t="s">
        <v>36</v>
      </c>
      <c r="P8" s="2" t="s">
        <v>37</v>
      </c>
      <c r="Q8" s="2"/>
      <c r="R8" s="6">
        <v>60</v>
      </c>
      <c r="S8" s="6">
        <v>60</v>
      </c>
      <c r="T8" s="2" t="s">
        <v>38</v>
      </c>
      <c r="U8" s="7">
        <v>143250</v>
      </c>
      <c r="V8" s="8">
        <v>22</v>
      </c>
      <c r="W8" s="4">
        <v>165000</v>
      </c>
      <c r="X8" s="9">
        <f t="shared" si="0"/>
        <v>3.63E-3</v>
      </c>
      <c r="Y8" s="5" t="s">
        <v>69</v>
      </c>
      <c r="Z8" s="2" t="s">
        <v>70</v>
      </c>
    </row>
    <row r="9" spans="1:26" ht="48" customHeight="1" x14ac:dyDescent="0.25">
      <c r="A9" s="2">
        <v>7</v>
      </c>
      <c r="B9" s="2" t="s">
        <v>47</v>
      </c>
      <c r="C9" s="2" t="s">
        <v>27</v>
      </c>
      <c r="D9" s="2">
        <v>4</v>
      </c>
      <c r="E9" s="2" t="s">
        <v>71</v>
      </c>
      <c r="F9" s="3">
        <v>45301.13208333333</v>
      </c>
      <c r="G9" s="4">
        <v>19000452</v>
      </c>
      <c r="H9" s="2" t="s">
        <v>65</v>
      </c>
      <c r="I9" s="2" t="s">
        <v>72</v>
      </c>
      <c r="J9" s="5" t="s">
        <v>73</v>
      </c>
      <c r="K9" s="5" t="s">
        <v>68</v>
      </c>
      <c r="L9" s="2" t="s">
        <v>60</v>
      </c>
      <c r="M9" s="5" t="s">
        <v>61</v>
      </c>
      <c r="N9" s="5" t="s">
        <v>62</v>
      </c>
      <c r="O9" s="2" t="s">
        <v>74</v>
      </c>
      <c r="P9" s="2" t="s">
        <v>75</v>
      </c>
      <c r="Q9" s="2" t="s">
        <v>76</v>
      </c>
      <c r="R9" s="6">
        <v>150000</v>
      </c>
      <c r="S9" s="6">
        <v>150000</v>
      </c>
      <c r="T9" s="2" t="s">
        <v>38</v>
      </c>
      <c r="U9" s="7">
        <v>143250</v>
      </c>
      <c r="V9" s="8">
        <v>0</v>
      </c>
      <c r="W9" s="4">
        <v>0</v>
      </c>
      <c r="X9" s="9">
        <f t="shared" si="0"/>
        <v>0</v>
      </c>
      <c r="Y9" s="5" t="s">
        <v>77</v>
      </c>
      <c r="Z9" s="2" t="s">
        <v>70</v>
      </c>
    </row>
    <row r="10" spans="1:26" ht="48" customHeight="1" x14ac:dyDescent="0.25">
      <c r="A10" s="2">
        <v>8</v>
      </c>
      <c r="B10" s="2" t="s">
        <v>47</v>
      </c>
      <c r="C10" s="2" t="s">
        <v>27</v>
      </c>
      <c r="D10" s="2">
        <v>5</v>
      </c>
      <c r="E10" s="2" t="s">
        <v>78</v>
      </c>
      <c r="F10" s="3">
        <v>45301.170138888891</v>
      </c>
      <c r="G10" s="4">
        <v>19000790</v>
      </c>
      <c r="H10" s="2" t="s">
        <v>79</v>
      </c>
      <c r="I10" s="2" t="s">
        <v>80</v>
      </c>
      <c r="J10" s="5" t="s">
        <v>81</v>
      </c>
      <c r="K10" s="5" t="s">
        <v>82</v>
      </c>
      <c r="L10" s="2" t="s">
        <v>60</v>
      </c>
      <c r="M10" s="5" t="s">
        <v>61</v>
      </c>
      <c r="N10" s="5" t="s">
        <v>62</v>
      </c>
      <c r="O10" s="2" t="s">
        <v>74</v>
      </c>
      <c r="P10" s="2" t="s">
        <v>75</v>
      </c>
      <c r="Q10" s="2" t="s">
        <v>76</v>
      </c>
      <c r="R10" s="6">
        <v>50000</v>
      </c>
      <c r="S10" s="6">
        <v>0</v>
      </c>
      <c r="T10" s="2" t="s">
        <v>83</v>
      </c>
      <c r="U10" s="7">
        <v>47500</v>
      </c>
      <c r="V10" s="8">
        <v>14.6</v>
      </c>
      <c r="W10" s="4">
        <v>65000</v>
      </c>
      <c r="X10" s="9">
        <f t="shared" si="0"/>
        <v>9.4899999999999997E-4</v>
      </c>
      <c r="Y10" s="5" t="s">
        <v>84</v>
      </c>
      <c r="Z10" s="2" t="s">
        <v>85</v>
      </c>
    </row>
    <row r="11" spans="1:26" ht="48" customHeight="1" x14ac:dyDescent="0.25">
      <c r="A11" s="2">
        <v>9</v>
      </c>
      <c r="B11" s="2" t="s">
        <v>47</v>
      </c>
      <c r="C11" s="2" t="s">
        <v>27</v>
      </c>
      <c r="D11" s="2">
        <v>6</v>
      </c>
      <c r="E11" s="2" t="s">
        <v>86</v>
      </c>
      <c r="F11" s="3">
        <v>45301.182291666657</v>
      </c>
      <c r="G11" s="4">
        <v>19000892</v>
      </c>
      <c r="H11" s="2" t="s">
        <v>87</v>
      </c>
      <c r="I11" s="2" t="s">
        <v>60</v>
      </c>
      <c r="J11" s="5" t="s">
        <v>61</v>
      </c>
      <c r="K11" s="5" t="s">
        <v>62</v>
      </c>
      <c r="L11" s="2" t="s">
        <v>88</v>
      </c>
      <c r="M11" s="5" t="s">
        <v>89</v>
      </c>
      <c r="N11" s="5" t="s">
        <v>90</v>
      </c>
      <c r="O11" s="2" t="s">
        <v>74</v>
      </c>
      <c r="P11" s="2" t="s">
        <v>75</v>
      </c>
      <c r="Q11" s="2" t="s">
        <v>76</v>
      </c>
      <c r="R11" s="6">
        <v>80000</v>
      </c>
      <c r="S11" s="6">
        <v>60000</v>
      </c>
      <c r="T11" s="2" t="s">
        <v>91</v>
      </c>
      <c r="U11" s="7">
        <v>76000</v>
      </c>
      <c r="V11" s="8">
        <v>15.2</v>
      </c>
      <c r="W11" s="4">
        <v>72000</v>
      </c>
      <c r="X11" s="9">
        <f t="shared" si="0"/>
        <v>1.0943999999999999E-3</v>
      </c>
      <c r="Y11" s="5" t="s">
        <v>92</v>
      </c>
      <c r="Z11" s="2" t="s">
        <v>40</v>
      </c>
    </row>
    <row r="12" spans="1:26" ht="48" customHeight="1" x14ac:dyDescent="0.25">
      <c r="A12" s="2">
        <v>10</v>
      </c>
      <c r="B12" s="2" t="s">
        <v>93</v>
      </c>
      <c r="C12" s="2" t="s">
        <v>47</v>
      </c>
      <c r="D12" s="2">
        <v>1</v>
      </c>
      <c r="E12" s="2" t="s">
        <v>48</v>
      </c>
      <c r="F12" s="3">
        <v>45301.182291666657</v>
      </c>
      <c r="G12" s="4">
        <v>19000892</v>
      </c>
      <c r="H12" s="2" t="s">
        <v>87</v>
      </c>
      <c r="I12" s="2" t="s">
        <v>60</v>
      </c>
      <c r="J12" s="5" t="s">
        <v>61</v>
      </c>
      <c r="K12" s="5" t="s">
        <v>62</v>
      </c>
      <c r="L12" s="2" t="s">
        <v>88</v>
      </c>
      <c r="M12" s="5" t="s">
        <v>89</v>
      </c>
      <c r="N12" s="5" t="s">
        <v>90</v>
      </c>
      <c r="O12" s="2" t="s">
        <v>74</v>
      </c>
      <c r="P12" s="2" t="s">
        <v>75</v>
      </c>
      <c r="Q12" s="2" t="s">
        <v>76</v>
      </c>
      <c r="R12" s="6">
        <v>80000</v>
      </c>
      <c r="S12" s="6">
        <v>60000</v>
      </c>
      <c r="T12" s="2" t="s">
        <v>94</v>
      </c>
      <c r="U12" s="7">
        <v>76000</v>
      </c>
      <c r="V12" s="8">
        <v>0</v>
      </c>
      <c r="W12" s="4">
        <v>0</v>
      </c>
      <c r="X12" s="9">
        <f t="shared" si="0"/>
        <v>0</v>
      </c>
      <c r="Y12" s="5" t="s">
        <v>95</v>
      </c>
      <c r="Z12" s="2" t="s">
        <v>40</v>
      </c>
    </row>
    <row r="13" spans="1:26" ht="48" customHeight="1" x14ac:dyDescent="0.25">
      <c r="A13" s="2">
        <v>11</v>
      </c>
      <c r="B13" s="2" t="s">
        <v>53</v>
      </c>
      <c r="C13" s="2" t="s">
        <v>27</v>
      </c>
      <c r="D13" s="2">
        <v>2</v>
      </c>
      <c r="E13" s="2" t="s">
        <v>96</v>
      </c>
      <c r="F13" s="3">
        <v>45301.277777777781</v>
      </c>
      <c r="G13" s="4">
        <v>19001710</v>
      </c>
      <c r="H13" s="2" t="s">
        <v>97</v>
      </c>
      <c r="I13" s="2" t="s">
        <v>55</v>
      </c>
      <c r="J13" s="5" t="s">
        <v>56</v>
      </c>
      <c r="K13" s="5" t="s">
        <v>57</v>
      </c>
      <c r="L13" s="2" t="s">
        <v>98</v>
      </c>
      <c r="M13" s="5" t="s">
        <v>99</v>
      </c>
      <c r="N13" s="5" t="s">
        <v>100</v>
      </c>
      <c r="O13" s="2" t="s">
        <v>36</v>
      </c>
      <c r="P13" s="2" t="s">
        <v>37</v>
      </c>
      <c r="Q13" s="2"/>
      <c r="R13" s="6">
        <v>40</v>
      </c>
      <c r="S13" s="6">
        <v>40</v>
      </c>
      <c r="T13" s="2" t="s">
        <v>38</v>
      </c>
      <c r="U13" s="7">
        <v>95600</v>
      </c>
      <c r="V13" s="8">
        <v>24.8</v>
      </c>
      <c r="W13" s="4">
        <v>42000</v>
      </c>
      <c r="X13" s="9">
        <f t="shared" si="0"/>
        <v>1.0415999999999999E-3</v>
      </c>
      <c r="Y13" s="5" t="s">
        <v>101</v>
      </c>
      <c r="Z13" s="2" t="s">
        <v>102</v>
      </c>
    </row>
    <row r="14" spans="1:26" ht="48" customHeight="1" x14ac:dyDescent="0.25">
      <c r="A14" s="2">
        <v>12</v>
      </c>
      <c r="B14" s="2" t="s">
        <v>93</v>
      </c>
      <c r="C14" s="2" t="s">
        <v>47</v>
      </c>
      <c r="D14" s="2">
        <v>2</v>
      </c>
      <c r="E14" s="2" t="s">
        <v>96</v>
      </c>
      <c r="F14" s="3">
        <v>45301.295138888891</v>
      </c>
      <c r="G14" s="4">
        <v>19001855</v>
      </c>
      <c r="H14" s="2" t="s">
        <v>103</v>
      </c>
      <c r="I14" s="2" t="s">
        <v>88</v>
      </c>
      <c r="J14" s="5" t="s">
        <v>89</v>
      </c>
      <c r="K14" s="5" t="s">
        <v>90</v>
      </c>
      <c r="L14" s="2" t="s">
        <v>104</v>
      </c>
      <c r="M14" s="5" t="s">
        <v>105</v>
      </c>
      <c r="N14" s="5" t="s">
        <v>100</v>
      </c>
      <c r="O14" s="2" t="s">
        <v>74</v>
      </c>
      <c r="P14" s="2" t="s">
        <v>75</v>
      </c>
      <c r="Q14" s="2" t="s">
        <v>76</v>
      </c>
      <c r="R14" s="6">
        <v>60000</v>
      </c>
      <c r="S14" s="6">
        <v>60000</v>
      </c>
      <c r="T14" s="2" t="s">
        <v>38</v>
      </c>
      <c r="U14" s="7">
        <v>57000</v>
      </c>
      <c r="V14" s="8">
        <v>13.9</v>
      </c>
      <c r="W14" s="4">
        <v>78000</v>
      </c>
      <c r="X14" s="9">
        <f t="shared" si="0"/>
        <v>1.0842E-3</v>
      </c>
      <c r="Y14" s="5" t="s">
        <v>106</v>
      </c>
      <c r="Z14" s="2" t="s">
        <v>102</v>
      </c>
    </row>
  </sheetData>
  <autoFilter ref="A2:Z14" xr:uid="{00000000-0009-0000-0000-000000000000}"/>
  <mergeCells count="1">
    <mergeCell ref="A1:Z1"/>
  </mergeCells>
  <conditionalFormatting sqref="Z3:Z14">
    <cfRule type="expression" dxfId="3" priority="1">
      <formula>LOWER($Z3)="critical"</formula>
    </cfRule>
    <cfRule type="expression" dxfId="2" priority="2">
      <formula>LOWER($Z3)="high"</formula>
    </cfRule>
    <cfRule type="expression" dxfId="1" priority="3">
      <formula>LOWER($Z3)="medium"</formula>
    </cfRule>
    <cfRule type="expression" dxfId="0" priority="4">
      <formula>LOWER($Z3)="low"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4" width="14" customWidth="1"/>
    <col min="5" max="5" width="26" customWidth="1"/>
    <col min="6" max="6" width="18" customWidth="1"/>
    <col min="7" max="7" width="48" customWidth="1"/>
  </cols>
  <sheetData>
    <row r="1" spans="1:7" x14ac:dyDescent="0.25">
      <c r="A1" s="1" t="s">
        <v>2</v>
      </c>
      <c r="B1" s="1" t="s">
        <v>3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</row>
    <row r="2" spans="1:7" ht="42" customHeight="1" x14ac:dyDescent="0.25">
      <c r="A2" s="2" t="s">
        <v>27</v>
      </c>
      <c r="B2" s="2"/>
      <c r="C2" s="6">
        <v>100</v>
      </c>
      <c r="D2" s="2" t="s">
        <v>36</v>
      </c>
      <c r="E2" s="2" t="s">
        <v>43</v>
      </c>
      <c r="F2" s="2" t="s">
        <v>112</v>
      </c>
      <c r="G2" s="5" t="s">
        <v>113</v>
      </c>
    </row>
    <row r="3" spans="1:7" ht="42" customHeight="1" x14ac:dyDescent="0.25">
      <c r="A3" s="2" t="s">
        <v>47</v>
      </c>
      <c r="B3" s="2" t="s">
        <v>27</v>
      </c>
      <c r="C3" s="6">
        <v>60</v>
      </c>
      <c r="D3" s="2" t="s">
        <v>74</v>
      </c>
      <c r="E3" s="2" t="s">
        <v>114</v>
      </c>
      <c r="F3" s="2" t="s">
        <v>115</v>
      </c>
      <c r="G3" s="5" t="s">
        <v>116</v>
      </c>
    </row>
    <row r="4" spans="1:7" ht="42" customHeight="1" x14ac:dyDescent="0.25">
      <c r="A4" s="2" t="s">
        <v>93</v>
      </c>
      <c r="B4" s="2" t="s">
        <v>47</v>
      </c>
      <c r="C4" s="6">
        <v>60000</v>
      </c>
      <c r="D4" s="2" t="s">
        <v>74</v>
      </c>
      <c r="E4" s="2" t="s">
        <v>104</v>
      </c>
      <c r="F4" s="2" t="s">
        <v>100</v>
      </c>
      <c r="G4" s="5" t="s">
        <v>117</v>
      </c>
    </row>
    <row r="5" spans="1:7" ht="42" customHeight="1" x14ac:dyDescent="0.25">
      <c r="A5" s="2" t="s">
        <v>53</v>
      </c>
      <c r="B5" s="2" t="s">
        <v>27</v>
      </c>
      <c r="C5" s="6">
        <v>40</v>
      </c>
      <c r="D5" s="2" t="s">
        <v>36</v>
      </c>
      <c r="E5" s="2" t="s">
        <v>98</v>
      </c>
      <c r="F5" s="2" t="s">
        <v>100</v>
      </c>
      <c r="G5" s="5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</vt:lpstr>
      <vt:lpstr>Flow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Barclay</cp:lastModifiedBy>
  <dcterms:created xsi:type="dcterms:W3CDTF">2026-01-17T02:50:12Z</dcterms:created>
  <dcterms:modified xsi:type="dcterms:W3CDTF">2026-01-17T03:16:10Z</dcterms:modified>
</cp:coreProperties>
</file>