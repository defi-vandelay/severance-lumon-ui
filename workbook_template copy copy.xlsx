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vid\Desktop\"/>
    </mc:Choice>
  </mc:AlternateContent>
  <xr:revisionPtr revIDLastSave="0" documentId="8_{D26ADE4B-F4BC-47A2-A852-F6B9763D5A23}" xr6:coauthVersionLast="47" xr6:coauthVersionMax="47" xr10:uidLastSave="{00000000-0000-0000-0000-000000000000}"/>
  <bookViews>
    <workbookView xWindow="-120" yWindow="-120" windowWidth="29040" windowHeight="17520" activeTab="7" xr2:uid="{00000000-000D-0000-FFFF-FFFF00000000}"/>
  </bookViews>
  <sheets>
    <sheet name="Index" sheetId="1" r:id="rId1"/>
    <sheet name="Guidance" sheetId="2" r:id="rId2"/>
    <sheet name="ChainRegistry" sheetId="3" r:id="rId3"/>
    <sheet name="AssetDirectory" sheetId="4" r:id="rId4"/>
    <sheet name="Settings" sheetId="5" r:id="rId5"/>
    <sheet name="QA_ChangeLog" sheetId="6" r:id="rId6"/>
    <sheet name="Trace_Working" sheetId="7" r:id="rId7"/>
    <sheet name="Trace_Exhibit" sheetId="8" r:id="rId8"/>
  </sheets>
  <definedNames>
    <definedName name="_xlnm.Print_Titles" localSheetId="3">AssetDirectory!$1:$1</definedName>
    <definedName name="_xlnm.Print_Titles" localSheetId="2">ChainRegistry!$1:$1</definedName>
    <definedName name="_xlnm.Print_Titles" localSheetId="1">Guidance!$1:$1</definedName>
    <definedName name="_xlnm.Print_Titles" localSheetId="0">Index!$1:$1</definedName>
    <definedName name="_xlnm.Print_Titles" localSheetId="5">QA_ChangeLog!$1:$1</definedName>
    <definedName name="_xlnm.Print_Titles" localSheetId="4">Settings!$1:$1</definedName>
    <definedName name="_xlnm.Print_Titles" localSheetId="7">Trace_Exhibit!$1:$5</definedName>
    <definedName name="_xlnm.Print_Titles" localSheetId="6">Trace_Working!$1:$5</definedName>
    <definedName name="ViewMode">Settings!$B$2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8" l="1"/>
  <c r="O57" i="7"/>
  <c r="I57" i="8"/>
  <c r="M57" i="7"/>
  <c r="H57" i="8" s="1"/>
  <c r="G57" i="8"/>
  <c r="F57" i="8"/>
  <c r="E57" i="8"/>
  <c r="D57" i="8"/>
  <c r="C57" i="8"/>
  <c r="B57" i="8"/>
  <c r="A57" i="8"/>
  <c r="K56" i="8"/>
  <c r="O56" i="7"/>
  <c r="I56" i="8"/>
  <c r="M56" i="7"/>
  <c r="H56" i="8" s="1"/>
  <c r="G56" i="8"/>
  <c r="F56" i="8"/>
  <c r="E56" i="8"/>
  <c r="D56" i="8"/>
  <c r="C56" i="8"/>
  <c r="B56" i="8"/>
  <c r="A56" i="8"/>
  <c r="K55" i="8"/>
  <c r="O55" i="7"/>
  <c r="I55" i="8"/>
  <c r="M55" i="7"/>
  <c r="H55" i="8"/>
  <c r="G55" i="8"/>
  <c r="F55" i="8"/>
  <c r="E55" i="8"/>
  <c r="D55" i="8"/>
  <c r="C55" i="8"/>
  <c r="B55" i="8"/>
  <c r="A55" i="8"/>
  <c r="K54" i="8"/>
  <c r="O54" i="7"/>
  <c r="I54" i="8"/>
  <c r="M54" i="7"/>
  <c r="H54" i="8"/>
  <c r="G54" i="8"/>
  <c r="F54" i="8"/>
  <c r="E54" i="8"/>
  <c r="D54" i="8"/>
  <c r="C54" i="8"/>
  <c r="B54" i="8"/>
  <c r="A54" i="8"/>
  <c r="K53" i="8"/>
  <c r="O53" i="7"/>
  <c r="I53" i="8"/>
  <c r="M53" i="7"/>
  <c r="H53" i="8" s="1"/>
  <c r="G53" i="8"/>
  <c r="F53" i="8"/>
  <c r="E53" i="8"/>
  <c r="D53" i="8"/>
  <c r="C53" i="8"/>
  <c r="B53" i="8"/>
  <c r="A53" i="8"/>
  <c r="K52" i="8"/>
  <c r="O52" i="7"/>
  <c r="I52" i="8"/>
  <c r="M52" i="7"/>
  <c r="H52" i="8" s="1"/>
  <c r="G52" i="8"/>
  <c r="F52" i="8"/>
  <c r="E52" i="8"/>
  <c r="D52" i="8"/>
  <c r="C52" i="8"/>
  <c r="B52" i="8"/>
  <c r="A52" i="8"/>
  <c r="K51" i="8"/>
  <c r="O51" i="7"/>
  <c r="I51" i="8"/>
  <c r="M51" i="7"/>
  <c r="H51" i="8"/>
  <c r="G51" i="8"/>
  <c r="F51" i="8"/>
  <c r="E51" i="8"/>
  <c r="D51" i="8"/>
  <c r="C51" i="8"/>
  <c r="B51" i="8"/>
  <c r="A51" i="8"/>
  <c r="K50" i="8"/>
  <c r="O50" i="7"/>
  <c r="I50" i="8"/>
  <c r="M50" i="7"/>
  <c r="H50" i="8"/>
  <c r="G50" i="8"/>
  <c r="F50" i="8"/>
  <c r="E50" i="8"/>
  <c r="D50" i="8"/>
  <c r="C50" i="8"/>
  <c r="B50" i="8"/>
  <c r="A50" i="8"/>
  <c r="K49" i="8"/>
  <c r="O49" i="7"/>
  <c r="I49" i="8"/>
  <c r="M49" i="7"/>
  <c r="H49" i="8" s="1"/>
  <c r="G49" i="8"/>
  <c r="F49" i="8"/>
  <c r="E49" i="8"/>
  <c r="D49" i="8"/>
  <c r="C49" i="8"/>
  <c r="B49" i="8"/>
  <c r="A49" i="8"/>
  <c r="K48" i="8"/>
  <c r="O48" i="7"/>
  <c r="I48" i="8"/>
  <c r="M48" i="7"/>
  <c r="H48" i="8" s="1"/>
  <c r="G48" i="8"/>
  <c r="F48" i="8"/>
  <c r="E48" i="8"/>
  <c r="D48" i="8"/>
  <c r="C48" i="8"/>
  <c r="B48" i="8"/>
  <c r="A48" i="8"/>
  <c r="K47" i="8"/>
  <c r="O47" i="7"/>
  <c r="I47" i="8"/>
  <c r="M47" i="7"/>
  <c r="H47" i="8"/>
  <c r="G47" i="8"/>
  <c r="F47" i="8"/>
  <c r="E47" i="8"/>
  <c r="D47" i="8"/>
  <c r="C47" i="8"/>
  <c r="B47" i="8"/>
  <c r="A47" i="8"/>
  <c r="K46" i="8"/>
  <c r="O46" i="7"/>
  <c r="I46" i="8"/>
  <c r="M46" i="7"/>
  <c r="H46" i="8" s="1"/>
  <c r="G46" i="8"/>
  <c r="F46" i="8"/>
  <c r="E46" i="8"/>
  <c r="D46" i="8"/>
  <c r="C46" i="8"/>
  <c r="B46" i="8"/>
  <c r="A46" i="8"/>
  <c r="K45" i="8"/>
  <c r="O45" i="7"/>
  <c r="I45" i="8"/>
  <c r="M45" i="7"/>
  <c r="H45" i="8" s="1"/>
  <c r="G45" i="8"/>
  <c r="F45" i="8"/>
  <c r="E45" i="8"/>
  <c r="D45" i="8"/>
  <c r="C45" i="8"/>
  <c r="B45" i="8"/>
  <c r="A45" i="8"/>
  <c r="K44" i="8"/>
  <c r="O44" i="7"/>
  <c r="I44" i="8"/>
  <c r="M44" i="7"/>
  <c r="H44" i="8" s="1"/>
  <c r="G44" i="8"/>
  <c r="F44" i="8"/>
  <c r="E44" i="8"/>
  <c r="D44" i="8"/>
  <c r="C44" i="8"/>
  <c r="B44" i="8"/>
  <c r="A44" i="8"/>
  <c r="K43" i="8"/>
  <c r="O43" i="7"/>
  <c r="I43" i="8"/>
  <c r="M43" i="7"/>
  <c r="H43" i="8"/>
  <c r="G43" i="8"/>
  <c r="F43" i="8"/>
  <c r="E43" i="8"/>
  <c r="D43" i="8"/>
  <c r="C43" i="8"/>
  <c r="B43" i="8"/>
  <c r="A43" i="8"/>
  <c r="K42" i="8"/>
  <c r="O42" i="7"/>
  <c r="I42" i="8"/>
  <c r="M42" i="7"/>
  <c r="H42" i="8" s="1"/>
  <c r="G42" i="8"/>
  <c r="F42" i="8"/>
  <c r="E42" i="8"/>
  <c r="D42" i="8"/>
  <c r="C42" i="8"/>
  <c r="B42" i="8"/>
  <c r="A42" i="8"/>
  <c r="K41" i="8"/>
  <c r="O41" i="7"/>
  <c r="I41" i="8"/>
  <c r="M41" i="7"/>
  <c r="H41" i="8" s="1"/>
  <c r="G41" i="8"/>
  <c r="F41" i="8"/>
  <c r="E41" i="8"/>
  <c r="D41" i="8"/>
  <c r="C41" i="8"/>
  <c r="B41" i="8"/>
  <c r="A41" i="8"/>
  <c r="K40" i="8"/>
  <c r="O40" i="7"/>
  <c r="I40" i="8"/>
  <c r="M40" i="7"/>
  <c r="H40" i="8" s="1"/>
  <c r="G40" i="8"/>
  <c r="F40" i="8"/>
  <c r="E40" i="8"/>
  <c r="D40" i="8"/>
  <c r="C40" i="8"/>
  <c r="B40" i="8"/>
  <c r="A40" i="8"/>
  <c r="K39" i="8"/>
  <c r="O39" i="7"/>
  <c r="I39" i="8"/>
  <c r="M39" i="7"/>
  <c r="H39" i="8" s="1"/>
  <c r="G39" i="8"/>
  <c r="F39" i="8"/>
  <c r="E39" i="8"/>
  <c r="D39" i="8"/>
  <c r="C39" i="8"/>
  <c r="B39" i="8"/>
  <c r="A39" i="8"/>
  <c r="K38" i="8"/>
  <c r="O38" i="7"/>
  <c r="I38" i="8"/>
  <c r="M38" i="7"/>
  <c r="H38" i="8"/>
  <c r="G38" i="8"/>
  <c r="F38" i="8"/>
  <c r="E38" i="8"/>
  <c r="D38" i="8"/>
  <c r="C38" i="8"/>
  <c r="B38" i="8"/>
  <c r="A38" i="8"/>
  <c r="K37" i="8"/>
  <c r="O37" i="7"/>
  <c r="I37" i="8"/>
  <c r="M37" i="7"/>
  <c r="H37" i="8" s="1"/>
  <c r="G37" i="8"/>
  <c r="F37" i="8"/>
  <c r="E37" i="8"/>
  <c r="D37" i="8"/>
  <c r="C37" i="8"/>
  <c r="B37" i="8"/>
  <c r="A37" i="8"/>
  <c r="K36" i="8"/>
  <c r="O36" i="7"/>
  <c r="I36" i="8"/>
  <c r="M36" i="7"/>
  <c r="H36" i="8" s="1"/>
  <c r="G36" i="8"/>
  <c r="F36" i="8"/>
  <c r="E36" i="8"/>
  <c r="D36" i="8"/>
  <c r="C36" i="8"/>
  <c r="B36" i="8"/>
  <c r="A36" i="8"/>
  <c r="K35" i="8"/>
  <c r="O35" i="7"/>
  <c r="I35" i="8"/>
  <c r="M35" i="7"/>
  <c r="H35" i="8" s="1"/>
  <c r="G35" i="8"/>
  <c r="F35" i="8"/>
  <c r="E35" i="8"/>
  <c r="D35" i="8"/>
  <c r="C35" i="8"/>
  <c r="B35" i="8"/>
  <c r="A35" i="8"/>
  <c r="K34" i="8"/>
  <c r="O34" i="7"/>
  <c r="I34" i="8"/>
  <c r="M34" i="7"/>
  <c r="H34" i="8"/>
  <c r="G34" i="8"/>
  <c r="F34" i="8"/>
  <c r="E34" i="8"/>
  <c r="D34" i="8"/>
  <c r="C34" i="8"/>
  <c r="B34" i="8"/>
  <c r="A34" i="8"/>
  <c r="K33" i="8"/>
  <c r="O33" i="7"/>
  <c r="I33" i="8"/>
  <c r="M33" i="7"/>
  <c r="H33" i="8" s="1"/>
  <c r="G33" i="8"/>
  <c r="F33" i="8"/>
  <c r="E33" i="8"/>
  <c r="D33" i="8"/>
  <c r="C33" i="8"/>
  <c r="B33" i="8"/>
  <c r="A33" i="8"/>
  <c r="K32" i="8"/>
  <c r="O32" i="7"/>
  <c r="I32" i="8"/>
  <c r="M32" i="7"/>
  <c r="H32" i="8" s="1"/>
  <c r="G32" i="8"/>
  <c r="F32" i="8"/>
  <c r="E32" i="8"/>
  <c r="D32" i="8"/>
  <c r="C32" i="8"/>
  <c r="B32" i="8"/>
  <c r="A32" i="8"/>
  <c r="K31" i="8"/>
  <c r="O31" i="7"/>
  <c r="I31" i="8"/>
  <c r="M31" i="7"/>
  <c r="H31" i="8"/>
  <c r="G31" i="8"/>
  <c r="F31" i="8"/>
  <c r="E31" i="8"/>
  <c r="D31" i="8"/>
  <c r="C31" i="8"/>
  <c r="B31" i="8"/>
  <c r="A31" i="8"/>
  <c r="K30" i="8"/>
  <c r="O30" i="7"/>
  <c r="I30" i="8"/>
  <c r="M30" i="7"/>
  <c r="H30" i="8"/>
  <c r="G30" i="8"/>
  <c r="F30" i="8"/>
  <c r="E30" i="8"/>
  <c r="D30" i="8"/>
  <c r="C30" i="8"/>
  <c r="B30" i="8"/>
  <c r="A30" i="8"/>
  <c r="K29" i="8"/>
  <c r="O29" i="7"/>
  <c r="I29" i="8"/>
  <c r="M29" i="7"/>
  <c r="H29" i="8" s="1"/>
  <c r="G29" i="8"/>
  <c r="F29" i="8"/>
  <c r="E29" i="8"/>
  <c r="D29" i="8"/>
  <c r="C29" i="8"/>
  <c r="B29" i="8"/>
  <c r="A29" i="8"/>
  <c r="K28" i="8"/>
  <c r="O28" i="7"/>
  <c r="I28" i="8"/>
  <c r="M28" i="7"/>
  <c r="H28" i="8" s="1"/>
  <c r="G28" i="8"/>
  <c r="F28" i="8"/>
  <c r="E28" i="8"/>
  <c r="D28" i="8"/>
  <c r="C28" i="8"/>
  <c r="B28" i="8"/>
  <c r="A28" i="8"/>
  <c r="K27" i="8"/>
  <c r="O27" i="7"/>
  <c r="I27" i="8"/>
  <c r="M27" i="7"/>
  <c r="H27" i="8"/>
  <c r="G27" i="8"/>
  <c r="F27" i="8"/>
  <c r="E27" i="8"/>
  <c r="D27" i="8"/>
  <c r="C27" i="8"/>
  <c r="B27" i="8"/>
  <c r="A27" i="8"/>
  <c r="K26" i="8"/>
  <c r="O26" i="7"/>
  <c r="I26" i="8"/>
  <c r="M26" i="7"/>
  <c r="H26" i="8"/>
  <c r="G26" i="8"/>
  <c r="F26" i="8"/>
  <c r="E26" i="8"/>
  <c r="D26" i="8"/>
  <c r="C26" i="8"/>
  <c r="B26" i="8"/>
  <c r="A26" i="8"/>
  <c r="K25" i="8"/>
  <c r="O25" i="7"/>
  <c r="I25" i="8"/>
  <c r="M25" i="7"/>
  <c r="H25" i="8" s="1"/>
  <c r="G25" i="8"/>
  <c r="F25" i="8"/>
  <c r="E25" i="8"/>
  <c r="D25" i="8"/>
  <c r="C25" i="8"/>
  <c r="B25" i="8"/>
  <c r="A25" i="8"/>
  <c r="K24" i="8"/>
  <c r="O24" i="7"/>
  <c r="I24" i="8"/>
  <c r="M24" i="7"/>
  <c r="H24" i="8" s="1"/>
  <c r="G24" i="8"/>
  <c r="F24" i="8"/>
  <c r="E24" i="8"/>
  <c r="D24" i="8"/>
  <c r="C24" i="8"/>
  <c r="B24" i="8"/>
  <c r="A24" i="8"/>
  <c r="K23" i="8"/>
  <c r="O23" i="7"/>
  <c r="I23" i="8"/>
  <c r="M23" i="7"/>
  <c r="H23" i="8"/>
  <c r="G23" i="8"/>
  <c r="F23" i="8"/>
  <c r="E23" i="8"/>
  <c r="D23" i="8"/>
  <c r="C23" i="8"/>
  <c r="B23" i="8"/>
  <c r="A23" i="8"/>
  <c r="K22" i="8"/>
  <c r="O22" i="7"/>
  <c r="I22" i="8"/>
  <c r="M22" i="7"/>
  <c r="H22" i="8" s="1"/>
  <c r="G22" i="8"/>
  <c r="F22" i="8"/>
  <c r="E22" i="8"/>
  <c r="D22" i="8"/>
  <c r="C22" i="8"/>
  <c r="B22" i="8"/>
  <c r="A22" i="8"/>
  <c r="K21" i="8"/>
  <c r="O21" i="7"/>
  <c r="I21" i="8"/>
  <c r="M21" i="7"/>
  <c r="H21" i="8" s="1"/>
  <c r="G21" i="8"/>
  <c r="F21" i="8"/>
  <c r="E21" i="8"/>
  <c r="D21" i="8"/>
  <c r="C21" i="8"/>
  <c r="B21" i="8"/>
  <c r="A21" i="8"/>
  <c r="K20" i="8"/>
  <c r="O20" i="7"/>
  <c r="I20" i="8"/>
  <c r="M20" i="7"/>
  <c r="H20" i="8" s="1"/>
  <c r="G20" i="8"/>
  <c r="F20" i="8"/>
  <c r="E20" i="8"/>
  <c r="D20" i="8"/>
  <c r="C20" i="8"/>
  <c r="B20" i="8"/>
  <c r="A20" i="8"/>
  <c r="K19" i="8"/>
  <c r="O19" i="7"/>
  <c r="I19" i="8"/>
  <c r="M19" i="7"/>
  <c r="H19" i="8"/>
  <c r="G19" i="8"/>
  <c r="F19" i="8"/>
  <c r="E19" i="8"/>
  <c r="D19" i="8"/>
  <c r="C19" i="8"/>
  <c r="B19" i="8"/>
  <c r="A19" i="8"/>
  <c r="K18" i="8"/>
  <c r="O18" i="7"/>
  <c r="I18" i="8"/>
  <c r="M18" i="7"/>
  <c r="H18" i="8" s="1"/>
  <c r="G18" i="8"/>
  <c r="F18" i="8"/>
  <c r="E18" i="8"/>
  <c r="D18" i="8"/>
  <c r="C18" i="8"/>
  <c r="B18" i="8"/>
  <c r="A18" i="8"/>
  <c r="K17" i="8"/>
  <c r="O17" i="7"/>
  <c r="I17" i="8"/>
  <c r="M17" i="7"/>
  <c r="H17" i="8" s="1"/>
  <c r="G17" i="8"/>
  <c r="F17" i="8"/>
  <c r="E17" i="8"/>
  <c r="D17" i="8"/>
  <c r="C17" i="8"/>
  <c r="B17" i="8"/>
  <c r="A17" i="8"/>
  <c r="K16" i="8"/>
  <c r="O16" i="7"/>
  <c r="I16" i="8"/>
  <c r="M16" i="7"/>
  <c r="H16" i="8" s="1"/>
  <c r="G16" i="8"/>
  <c r="F16" i="8"/>
  <c r="E16" i="8"/>
  <c r="D16" i="8"/>
  <c r="C16" i="8"/>
  <c r="B16" i="8"/>
  <c r="A16" i="8"/>
  <c r="K15" i="8"/>
  <c r="O15" i="7"/>
  <c r="I15" i="8"/>
  <c r="M15" i="7"/>
  <c r="H15" i="8"/>
  <c r="G15" i="8"/>
  <c r="F15" i="8"/>
  <c r="E15" i="8"/>
  <c r="D15" i="8"/>
  <c r="C15" i="8"/>
  <c r="B15" i="8"/>
  <c r="A15" i="8"/>
  <c r="K14" i="8"/>
  <c r="O14" i="7"/>
  <c r="I14" i="8"/>
  <c r="M14" i="7"/>
  <c r="H14" i="8" s="1"/>
  <c r="G14" i="8"/>
  <c r="F14" i="8"/>
  <c r="E14" i="8"/>
  <c r="D14" i="8"/>
  <c r="C14" i="8"/>
  <c r="B14" i="8"/>
  <c r="A14" i="8"/>
  <c r="K13" i="8"/>
  <c r="O13" i="7"/>
  <c r="I13" i="8"/>
  <c r="M13" i="7"/>
  <c r="H13" i="8" s="1"/>
  <c r="G13" i="8"/>
  <c r="F13" i="8"/>
  <c r="E13" i="8"/>
  <c r="D13" i="8"/>
  <c r="C13" i="8"/>
  <c r="B13" i="8"/>
  <c r="A13" i="8"/>
  <c r="K12" i="8"/>
  <c r="O12" i="7"/>
  <c r="I12" i="8"/>
  <c r="M12" i="7"/>
  <c r="H12" i="8" s="1"/>
  <c r="G12" i="8"/>
  <c r="F12" i="8"/>
  <c r="E12" i="8"/>
  <c r="D12" i="8"/>
  <c r="C12" i="8"/>
  <c r="B12" i="8"/>
  <c r="A12" i="8"/>
  <c r="K11" i="8"/>
  <c r="O11" i="7"/>
  <c r="I11" i="8"/>
  <c r="M11" i="7"/>
  <c r="H11" i="8" s="1"/>
  <c r="G11" i="8"/>
  <c r="F11" i="8"/>
  <c r="E11" i="8"/>
  <c r="D11" i="8"/>
  <c r="C11" i="8"/>
  <c r="B11" i="8"/>
  <c r="A11" i="8"/>
  <c r="K10" i="8"/>
  <c r="O10" i="7"/>
  <c r="I10" i="8"/>
  <c r="M10" i="7"/>
  <c r="H10" i="8" s="1"/>
  <c r="G10" i="8"/>
  <c r="F10" i="8"/>
  <c r="E10" i="8"/>
  <c r="D10" i="8"/>
  <c r="C10" i="8"/>
  <c r="B10" i="8"/>
  <c r="A10" i="8"/>
  <c r="K9" i="8"/>
  <c r="O9" i="7"/>
  <c r="I9" i="8"/>
  <c r="M9" i="7"/>
  <c r="H9" i="8" s="1"/>
  <c r="G9" i="8"/>
  <c r="F9" i="8"/>
  <c r="E9" i="8"/>
  <c r="D9" i="8"/>
  <c r="C9" i="8"/>
  <c r="B9" i="8"/>
  <c r="A9" i="8"/>
  <c r="K8" i="8"/>
  <c r="O8" i="7"/>
  <c r="I8" i="8"/>
  <c r="M8" i="7"/>
  <c r="H8" i="8" s="1"/>
  <c r="G8" i="8"/>
  <c r="F8" i="8"/>
  <c r="E8" i="8"/>
  <c r="D8" i="8"/>
  <c r="C8" i="8"/>
  <c r="B8" i="8"/>
  <c r="A8" i="8"/>
  <c r="L57" i="7"/>
  <c r="K57" i="7"/>
  <c r="L56" i="7"/>
  <c r="K56" i="7"/>
  <c r="L55" i="7"/>
  <c r="K55" i="7"/>
  <c r="L54" i="7"/>
  <c r="K54" i="7"/>
  <c r="L53" i="7"/>
  <c r="K53" i="7"/>
  <c r="L52" i="7"/>
  <c r="K52" i="7"/>
  <c r="L51" i="7"/>
  <c r="K51" i="7"/>
  <c r="L50" i="7"/>
  <c r="K50" i="7"/>
  <c r="L49" i="7"/>
  <c r="K49" i="7"/>
  <c r="L48" i="7"/>
  <c r="K48" i="7"/>
  <c r="L47" i="7"/>
  <c r="K47" i="7"/>
  <c r="L46" i="7"/>
  <c r="K46" i="7"/>
  <c r="L45" i="7"/>
  <c r="K45" i="7"/>
  <c r="L44" i="7"/>
  <c r="K44" i="7"/>
  <c r="L43" i="7"/>
  <c r="K43" i="7"/>
  <c r="L42" i="7"/>
  <c r="K42" i="7"/>
  <c r="L41" i="7"/>
  <c r="K41" i="7"/>
  <c r="L40" i="7"/>
  <c r="K40" i="7"/>
  <c r="L39" i="7"/>
  <c r="K39" i="7"/>
  <c r="L38" i="7"/>
  <c r="K38" i="7"/>
  <c r="L37" i="7"/>
  <c r="K37" i="7"/>
  <c r="L36" i="7"/>
  <c r="K36" i="7"/>
  <c r="L35" i="7"/>
  <c r="K35" i="7"/>
  <c r="L34" i="7"/>
  <c r="K34" i="7"/>
  <c r="L33" i="7"/>
  <c r="K33" i="7"/>
  <c r="L32" i="7"/>
  <c r="K32" i="7"/>
  <c r="L31" i="7"/>
  <c r="K31" i="7"/>
  <c r="L30" i="7"/>
  <c r="K30" i="7"/>
  <c r="L29" i="7"/>
  <c r="K29" i="7"/>
  <c r="L28" i="7"/>
  <c r="K28" i="7"/>
  <c r="L27" i="7"/>
  <c r="K27" i="7"/>
  <c r="L26" i="7"/>
  <c r="K26" i="7"/>
  <c r="L25" i="7"/>
  <c r="K25" i="7"/>
  <c r="L24" i="7"/>
  <c r="K24" i="7"/>
  <c r="L23" i="7"/>
  <c r="K23" i="7"/>
  <c r="L22" i="7"/>
  <c r="K22" i="7"/>
  <c r="L21" i="7"/>
  <c r="K21" i="7"/>
  <c r="L20" i="7"/>
  <c r="K20" i="7"/>
  <c r="L19" i="7"/>
  <c r="K19" i="7"/>
  <c r="L18" i="7"/>
  <c r="K18" i="7"/>
  <c r="L17" i="7"/>
  <c r="K17" i="7"/>
  <c r="L16" i="7"/>
  <c r="K16" i="7"/>
  <c r="L15" i="7"/>
  <c r="K15" i="7"/>
  <c r="L14" i="7"/>
  <c r="K14" i="7"/>
  <c r="L13" i="7"/>
  <c r="K13" i="7"/>
  <c r="L12" i="7"/>
  <c r="K12" i="7"/>
  <c r="L11" i="7"/>
  <c r="K11" i="7"/>
  <c r="L10" i="7"/>
  <c r="K10" i="7"/>
  <c r="L9" i="7"/>
  <c r="K9" i="7"/>
  <c r="L8" i="7"/>
  <c r="K8" i="7"/>
  <c r="H2" i="7"/>
</calcChain>
</file>

<file path=xl/sharedStrings.xml><?xml version="1.0" encoding="utf-8"?>
<sst xmlns="http://schemas.openxmlformats.org/spreadsheetml/2006/main" count="174" uniqueCount="114">
  <si>
    <t>Onchain Fund Flow Tracing Workbook</t>
  </si>
  <si>
    <t>Case / Matter:</t>
  </si>
  <si>
    <t>Analyst:</t>
  </si>
  <si>
    <t>Reviewer:</t>
  </si>
  <si>
    <t>Version:</t>
  </si>
  <si>
    <t>v1.0</t>
  </si>
  <si>
    <t>Navigation</t>
  </si>
  <si>
    <t>Trace (Working)</t>
  </si>
  <si>
    <t>Go to Trace_Working</t>
  </si>
  <si>
    <t>Trace (Exhibit)</t>
  </si>
  <si>
    <t>Go to Trace_Exhibit</t>
  </si>
  <si>
    <t>Asset Directory</t>
  </si>
  <si>
    <t>Go to AssetDirectory</t>
  </si>
  <si>
    <t>Chain Registry</t>
  </si>
  <si>
    <t>Go to ChainRegistry</t>
  </si>
  <si>
    <t>Settings</t>
  </si>
  <si>
    <t>Go to Settings</t>
  </si>
  <si>
    <t>QA / Change Log</t>
  </si>
  <si>
    <t>Go to QA_ChangeLog</t>
  </si>
  <si>
    <t>Guidance (QAT + Formatting)</t>
  </si>
  <si>
    <t>Go to Guidance</t>
  </si>
  <si>
    <t>Guidance: Layout, Printing, QAT, and Copying Formula Results</t>
  </si>
  <si>
    <t>QAT suggested buttons (top 10): Paste Values, Center Across Selection, Format Painter, Borders, Fill Color, Font Color, Conditional Formatting, Sort A→Z, Filter, Freeze Panes.</t>
  </si>
  <si>
    <t>Copy formula results (no VBA): Copy (Ctrl+C) then Paste Values (Ctrl+Alt+V, V, Enter) or add Paste Values to QAT and use Alt+1.</t>
  </si>
  <si>
    <t>Decimal framework: keep AmountRaw numeric; use AmountDisplay columns (TEXT) driven by AssetDirectory DisplayDecimals; fiat values rounded to 2dp.</t>
  </si>
  <si>
    <t>Printing: default A3 landscape, fit to 1 page wide; repeat title rows; use Exhibit sheet for juror-friendly output.</t>
  </si>
  <si>
    <t>Back to Index</t>
  </si>
  <si>
    <t>ChainName</t>
  </si>
  <si>
    <t>ChainType</t>
  </si>
  <si>
    <t>NativeSymbol</t>
  </si>
  <si>
    <t>NativeDecimals</t>
  </si>
  <si>
    <t>ETH</t>
  </si>
  <si>
    <t>Ethereum</t>
  </si>
  <si>
    <t>Account</t>
  </si>
  <si>
    <t>BTC</t>
  </si>
  <si>
    <t>Bitcoin</t>
  </si>
  <si>
    <t>UTXO</t>
  </si>
  <si>
    <t>TRX</t>
  </si>
  <si>
    <t>Tron</t>
  </si>
  <si>
    <t>SOL</t>
  </si>
  <si>
    <t>Solana</t>
  </si>
  <si>
    <t>BSC</t>
  </si>
  <si>
    <t>Binance Smart Chain</t>
  </si>
  <si>
    <t>BNB</t>
  </si>
  <si>
    <t>Asset Directory (drives decimals + display formatting)</t>
  </si>
  <si>
    <t>Symbol</t>
  </si>
  <si>
    <t>Name</t>
  </si>
  <si>
    <t>ChainKey</t>
  </si>
  <si>
    <t>AssetType</t>
  </si>
  <si>
    <t>TokenStandard</t>
  </si>
  <si>
    <t>ContractAddress</t>
  </si>
  <si>
    <t>DecimalsRaw</t>
  </si>
  <si>
    <t>DecimalsDisplayAnalyst</t>
  </si>
  <si>
    <t>DecimalsDisplayExhibit</t>
  </si>
  <si>
    <t>IsStablecoin</t>
  </si>
  <si>
    <t>Active</t>
  </si>
  <si>
    <t>ETH:ETH</t>
  </si>
  <si>
    <t>Native</t>
  </si>
  <si>
    <t>BTC:BTC</t>
  </si>
  <si>
    <t>TRX:TRX</t>
  </si>
  <si>
    <t>SOL:SOL</t>
  </si>
  <si>
    <t>BSC:BNB</t>
  </si>
  <si>
    <t>Binance Coin</t>
  </si>
  <si>
    <t>ETH:USDT</t>
  </si>
  <si>
    <t>USDT</t>
  </si>
  <si>
    <t>Tether USD</t>
  </si>
  <si>
    <t>Token</t>
  </si>
  <si>
    <t>ERC20</t>
  </si>
  <si>
    <t>0xdAC17F958D2ee523a2206206994597C13D831ec7</t>
  </si>
  <si>
    <t>BSC:USDT</t>
  </si>
  <si>
    <t>BEP20</t>
  </si>
  <si>
    <t>0x55d398326f99059fF775485246999027B3197955</t>
  </si>
  <si>
    <t>TRX:USDT</t>
  </si>
  <si>
    <t>TRC20</t>
  </si>
  <si>
    <t>TXLAQ63Xg1NAzckPwKHvzw7CSEmLMEqcdj</t>
  </si>
  <si>
    <t>ETH:USDC</t>
  </si>
  <si>
    <t>USDC</t>
  </si>
  <si>
    <t>USD Coin</t>
  </si>
  <si>
    <t>0xA0b86991c6218b36c1d19D4a2e9Eb0cE3606eB48</t>
  </si>
  <si>
    <t>ViewMode (drives unified display columns):</t>
  </si>
  <si>
    <t>Analyst</t>
  </si>
  <si>
    <t>Default print paper:</t>
  </si>
  <si>
    <t>A3 Landscape</t>
  </si>
  <si>
    <t>Notes:</t>
  </si>
  <si>
    <t>Set ViewMode to Exhibit before printing Trace_Exhibit.</t>
  </si>
  <si>
    <t>Change Summary</t>
  </si>
  <si>
    <t>Reviewer</t>
  </si>
  <si>
    <t>Status</t>
  </si>
  <si>
    <t>Trace Sheet (Working) – full detail, formulas, and helper columns</t>
  </si>
  <si>
    <t>Case:</t>
  </si>
  <si>
    <t>(enter case name)</t>
  </si>
  <si>
    <t>(name)</t>
  </si>
  <si>
    <t>ViewMode:</t>
  </si>
  <si>
    <t>HopID</t>
  </si>
  <si>
    <t>PathID</t>
  </si>
  <si>
    <t>Timestamp</t>
  </si>
  <si>
    <t>Block</t>
  </si>
  <si>
    <t>TxHash</t>
  </si>
  <si>
    <t>FromAddress</t>
  </si>
  <si>
    <t>ToAddress</t>
  </si>
  <si>
    <t>AssetKey</t>
  </si>
  <si>
    <t>AmountRaw</t>
  </si>
  <si>
    <t>DecAnalyst</t>
  </si>
  <si>
    <t>DecExhibit</t>
  </si>
  <si>
    <t>AmountDisplay</t>
  </si>
  <si>
    <t>USD_Rate</t>
  </si>
  <si>
    <t>USD_Value</t>
  </si>
  <si>
    <t>Trace Sheet (Exhibit) – juror-friendly view (copy/print)</t>
  </si>
  <si>
    <t>Tip: set Settings!ViewMode = Exhibit before printing.</t>
  </si>
  <si>
    <t>TxHash_Short</t>
  </si>
  <si>
    <t>From_Short</t>
  </si>
  <si>
    <t>To_Short</t>
  </si>
  <si>
    <t>Notes</t>
  </si>
  <si>
    <t>ExplorerURL_Copy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</si>
</sst>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0.############################"/>
    <numFmt numFmtId="166" formatCode="0.########"/>
  </numFmts>
  <fonts count="8" x14ac:knownFonts="1">
    <font>
      <sz val="11"/>
      <color theme="1"/>
      <name val="Calibri"/>
      <family val="2"/>
      <scheme val="minor"/>
    </font>
    <font>
      <b/>
      <sz val="14"/>
      <color rgb="FFFFFFFF"/>
      <name val="Calibri"/>
    </font>
    <font>
      <b/>
      <sz val="11"/>
      <color rgb="FF111827"/>
      <name val="Calibri"/>
    </font>
    <font>
      <sz val="11"/>
      <color rgb="FF111827"/>
      <name val="Calibri"/>
    </font>
    <font>
      <b/>
      <sz val="12"/>
      <color rgb="FF111827"/>
      <name val="Calibri"/>
    </font>
    <font>
      <sz val="12"/>
      <color theme="10"/>
      <name val="Calibri"/>
      <family val="2"/>
      <scheme val="minor"/>
    </font>
    <font>
      <b/>
      <sz val="11"/>
      <color rgb="FFFFFFFF"/>
      <name val="Calibri"/>
    </font>
    <font>
      <sz val="10"/>
      <color rgb="FF111827"/>
      <name val="Consolas"/>
    </font>
  </fonts>
  <fills count="5">
    <fill>
      <patternFill patternType="none"/>
    </fill>
    <fill>
      <patternFill patternType="gray125"/>
    </fill>
    <fill>
      <patternFill patternType="solid">
        <fgColor rgb="FF2563EB"/>
      </patternFill>
    </fill>
    <fill>
      <patternFill patternType="solid">
        <fgColor rgb="FF1F2937"/>
      </patternFill>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5" fillId="0" borderId="0"/>
  </cellStyleXfs>
  <cellXfs count="21">
    <xf numFmtId="0" fontId="0" fillId="0" borderId="0" xfId="0"/>
    <xf numFmtId="0" fontId="2" fillId="0" borderId="0" xfId="0" applyFont="1"/>
    <xf numFmtId="0" fontId="3" fillId="0" borderId="0" xfId="0" applyFont="1"/>
    <xf numFmtId="0" fontId="4" fillId="0" borderId="0" xfId="0" applyFont="1"/>
    <xf numFmtId="0" fontId="5" fillId="0" borderId="0" xfId="1"/>
    <xf numFmtId="0" fontId="3" fillId="0" borderId="0" xfId="0" applyFont="1" applyAlignment="1">
      <alignment vertical="top" wrapText="1"/>
    </xf>
    <xf numFmtId="0" fontId="6" fillId="3" borderId="1" xfId="0" applyFont="1" applyFill="1" applyBorder="1" applyAlignment="1">
      <alignment horizontal="center" vertical="center"/>
    </xf>
    <xf numFmtId="0" fontId="3" fillId="0" borderId="1" xfId="0" applyFont="1" applyBorder="1" applyAlignment="1">
      <alignment vertical="center"/>
    </xf>
    <xf numFmtId="0" fontId="7" fillId="0" borderId="1" xfId="0" applyFont="1" applyBorder="1" applyAlignment="1">
      <alignment horizontal="left" vertical="center"/>
    </xf>
    <xf numFmtId="0" fontId="3" fillId="0" borderId="1" xfId="0" applyFont="1" applyBorder="1" applyAlignment="1">
      <alignment horizontal="left" vertical="center"/>
    </xf>
    <xf numFmtId="0" fontId="2" fillId="0" borderId="0" xfId="0" applyFont="1" applyAlignment="1">
      <alignment vertical="center"/>
    </xf>
    <xf numFmtId="0" fontId="0" fillId="0" borderId="0" xfId="0" applyAlignment="1">
      <alignment vertical="center"/>
    </xf>
    <xf numFmtId="1" fontId="3" fillId="0" borderId="1" xfId="0" applyNumberFormat="1" applyFont="1" applyBorder="1" applyAlignment="1">
      <alignment vertical="center"/>
    </xf>
    <xf numFmtId="0" fontId="7" fillId="0" borderId="1" xfId="0" applyFont="1" applyBorder="1" applyAlignment="1">
      <alignment vertical="center"/>
    </xf>
    <xf numFmtId="0" fontId="3" fillId="4" borderId="1" xfId="0" applyFont="1" applyFill="1" applyBorder="1" applyAlignment="1">
      <alignment vertical="center"/>
    </xf>
    <xf numFmtId="4" fontId="3" fillId="0" borderId="1" xfId="0" applyNumberFormat="1" applyFont="1" applyBorder="1" applyAlignment="1">
      <alignment vertical="center"/>
    </xf>
    <xf numFmtId="164" fontId="3" fillId="0" borderId="1" xfId="0" applyNumberFormat="1" applyFont="1" applyBorder="1" applyAlignment="1">
      <alignment vertical="center"/>
    </xf>
    <xf numFmtId="165" fontId="3" fillId="0" borderId="1" xfId="0" applyNumberFormat="1" applyFont="1" applyBorder="1" applyAlignment="1">
      <alignment vertical="center"/>
    </xf>
    <xf numFmtId="166" fontId="3" fillId="0" borderId="1" xfId="0" applyNumberFormat="1" applyFont="1" applyBorder="1" applyAlignment="1">
      <alignment vertical="center"/>
    </xf>
    <xf numFmtId="0" fontId="1" fillId="2" borderId="0" xfId="0" applyFont="1" applyFill="1" applyAlignment="1">
      <alignment horizontal="left" vertical="center"/>
    </xf>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inRegistryTbl" displayName="ChainRegistryTbl" ref="A6:E11">
  <autoFilter ref="A6:E11" xr:uid="{00000000-0009-0000-0100-000001000000}"/>
  <tableColumns count="5">
    <tableColumn id="1" xr3:uid="{00000000-0010-0000-0000-000001000000}" name="Back to Index"/>
    <tableColumn id="2" xr3:uid="{00000000-0010-0000-0000-000002000000}" name="ChainName"/>
    <tableColumn id="3" xr3:uid="{00000000-0010-0000-0000-000003000000}" name="ChainType"/>
    <tableColumn id="4" xr3:uid="{00000000-0010-0000-0000-000004000000}" name="NativeSymbol"/>
    <tableColumn id="5" xr3:uid="{00000000-0010-0000-0000-000005000000}" name="NativeDecimal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ssetDirectory" displayName="AssetDirectory" ref="A6:L15">
  <autoFilter ref="A6:L15" xr:uid="{00000000-0009-0000-0100-000002000000}"/>
  <tableColumns count="12">
    <tableColumn id="1" xr3:uid="{00000000-0010-0000-0100-000001000000}" name="Back to Index"/>
    <tableColumn id="2" xr3:uid="{00000000-0010-0000-0100-000002000000}" name="Symbol"/>
    <tableColumn id="3" xr3:uid="{00000000-0010-0000-0100-000003000000}" name="Name"/>
    <tableColumn id="4" xr3:uid="{00000000-0010-0000-0100-000004000000}" name="ChainKey"/>
    <tableColumn id="5" xr3:uid="{00000000-0010-0000-0100-000005000000}" name="AssetType"/>
    <tableColumn id="6" xr3:uid="{00000000-0010-0000-0100-000006000000}" name="TokenStandard"/>
    <tableColumn id="7" xr3:uid="{00000000-0010-0000-0100-000007000000}" name="ContractAddress"/>
    <tableColumn id="8" xr3:uid="{00000000-0010-0000-0100-000008000000}" name="DecimalsRaw"/>
    <tableColumn id="9" xr3:uid="{00000000-0010-0000-0100-000009000000}" name="DecimalsDisplayAnalyst"/>
    <tableColumn id="10" xr3:uid="{00000000-0010-0000-0100-00000A000000}" name="DecimalsDisplayExhibit"/>
    <tableColumn id="11" xr3:uid="{00000000-0010-0000-0100-00000B000000}" name="IsStablecoin"/>
    <tableColumn id="12" xr3:uid="{00000000-0010-0000-0100-00000C000000}" name="Activ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angeLog" displayName="ChangeLog" ref="A6:E29">
  <autoFilter ref="A6:E29" xr:uid="{00000000-0009-0000-0100-000003000000}"/>
  <tableColumns count="5">
    <tableColumn id="1" xr3:uid="{00000000-0010-0000-0200-000001000000}" name="Back to Index"/>
    <tableColumn id="2" xr3:uid="{00000000-0010-0000-0200-000002000000}" name="Analyst"/>
    <tableColumn id="3" xr3:uid="{00000000-0010-0000-0200-000003000000}" name="Change Summary"/>
    <tableColumn id="4" xr3:uid="{00000000-0010-0000-0200-000004000000}" name="Reviewer"/>
    <tableColumn id="5" xr3:uid="{00000000-0010-0000-0200-000005000000}" name="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ceWorking" displayName="TraceWorking" ref="A7:O57">
  <autoFilter ref="A7:O57" xr:uid="{00000000-0009-0000-0100-000004000000}"/>
  <tableColumns count="15">
    <tableColumn id="1" xr3:uid="{00000000-0010-0000-0300-000001000000}" name="HopID"/>
    <tableColumn id="2" xr3:uid="{00000000-0010-0000-0300-000002000000}" name="PathID"/>
    <tableColumn id="3" xr3:uid="{00000000-0010-0000-0300-000003000000}" name="Timestamp"/>
    <tableColumn id="4" xr3:uid="{00000000-0010-0000-0300-000004000000}" name="ChainKey"/>
    <tableColumn id="5" xr3:uid="{00000000-0010-0000-0300-000005000000}" name="Block"/>
    <tableColumn id="6" xr3:uid="{00000000-0010-0000-0300-000006000000}" name="TxHash"/>
    <tableColumn id="7" xr3:uid="{00000000-0010-0000-0300-000007000000}" name="FromAddress"/>
    <tableColumn id="8" xr3:uid="{00000000-0010-0000-0300-000008000000}" name="ToAddress"/>
    <tableColumn id="9" xr3:uid="{00000000-0010-0000-0300-000009000000}" name="AssetKey"/>
    <tableColumn id="10" xr3:uid="{00000000-0010-0000-0300-00000A000000}" name="AmountRaw"/>
    <tableColumn id="11" xr3:uid="{00000000-0010-0000-0300-00000B000000}" name="DecAnalyst"/>
    <tableColumn id="12" xr3:uid="{00000000-0010-0000-0300-00000C000000}" name="DecExhibit"/>
    <tableColumn id="13" xr3:uid="{00000000-0010-0000-0300-00000D000000}" name="AmountDisplay"/>
    <tableColumn id="14" xr3:uid="{00000000-0010-0000-0300-00000E000000}" name="USD_Rate"/>
    <tableColumn id="15" xr3:uid="{00000000-0010-0000-0300-00000F000000}" name="USD_Val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raceExhibit" displayName="TraceExhibit" ref="A7:K57">
  <autoFilter ref="A7:K57" xr:uid="{00000000-0009-0000-0100-000005000000}"/>
  <tableColumns count="11">
    <tableColumn id="1" xr3:uid="{00000000-0010-0000-0400-000001000000}" name="HopID"/>
    <tableColumn id="2" xr3:uid="{00000000-0010-0000-0400-000002000000}" name="Timestamp"/>
    <tableColumn id="3" xr3:uid="{00000000-0010-0000-0400-000003000000}" name="ChainKey"/>
    <tableColumn id="4" xr3:uid="{00000000-0010-0000-0400-000004000000}" name="TxHash_Short"/>
    <tableColumn id="5" xr3:uid="{00000000-0010-0000-0400-000005000000}" name="From_Short"/>
    <tableColumn id="6" xr3:uid="{00000000-0010-0000-0400-000006000000}" name="To_Short"/>
    <tableColumn id="7" xr3:uid="{00000000-0010-0000-0400-000007000000}" name="AssetKey"/>
    <tableColumn id="8" xr3:uid="{00000000-0010-0000-0400-000008000000}" name="AmountDisplay"/>
    <tableColumn id="9" xr3:uid="{00000000-0010-0000-0400-000009000000}" name="USD_Value"/>
    <tableColumn id="10" xr3:uid="{00000000-0010-0000-0400-00000A000000}" name="Notes"/>
    <tableColumn id="11" xr3:uid="{00000000-0010-0000-0400-00000B000000}" name="ExplorerURL_Cop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workbookViewId="0">
      <pane ySplit="6" topLeftCell="A7" activePane="bottomLeft" state="frozen"/>
      <selection pane="bottomLeft" sqref="A1:H1"/>
    </sheetView>
  </sheetViews>
  <sheetFormatPr defaultRowHeight="15" x14ac:dyDescent="0.25"/>
  <cols>
    <col min="1" max="2" width="30" customWidth="1"/>
    <col min="3" max="8" width="14" customWidth="1"/>
  </cols>
  <sheetData>
    <row r="1" spans="1:8" ht="30" customHeight="1" x14ac:dyDescent="0.25">
      <c r="A1" s="19" t="s">
        <v>0</v>
      </c>
      <c r="B1" s="20"/>
      <c r="C1" s="20"/>
      <c r="D1" s="20"/>
      <c r="E1" s="20"/>
      <c r="F1" s="20"/>
      <c r="G1" s="20"/>
      <c r="H1" s="20"/>
    </row>
    <row r="2" spans="1:8" ht="20.100000000000001" customHeight="1" x14ac:dyDescent="0.25">
      <c r="A2" s="1" t="s">
        <v>1</v>
      </c>
      <c r="B2" s="2"/>
    </row>
    <row r="3" spans="1:8" ht="20.100000000000001" customHeight="1" x14ac:dyDescent="0.25">
      <c r="A3" s="1" t="s">
        <v>2</v>
      </c>
      <c r="B3" s="2"/>
    </row>
    <row r="4" spans="1:8" ht="20.100000000000001" customHeight="1" x14ac:dyDescent="0.25">
      <c r="A4" s="1" t="s">
        <v>3</v>
      </c>
      <c r="B4" s="2"/>
    </row>
    <row r="5" spans="1:8" ht="20.100000000000001" customHeight="1" x14ac:dyDescent="0.25">
      <c r="A5" s="1" t="s">
        <v>4</v>
      </c>
      <c r="B5" s="2" t="s">
        <v>5</v>
      </c>
    </row>
    <row r="6" spans="1:8" ht="18" customHeight="1" x14ac:dyDescent="0.25">
      <c r="A6" s="3" t="s">
        <v>6</v>
      </c>
      <c r="B6" s="2"/>
    </row>
    <row r="7" spans="1:8" ht="18" customHeight="1" x14ac:dyDescent="0.25">
      <c r="A7" s="1" t="s">
        <v>7</v>
      </c>
      <c r="B7" s="4" t="s">
        <v>8</v>
      </c>
    </row>
    <row r="8" spans="1:8" ht="18" customHeight="1" x14ac:dyDescent="0.25">
      <c r="A8" s="1" t="s">
        <v>9</v>
      </c>
      <c r="B8" s="4" t="s">
        <v>10</v>
      </c>
    </row>
    <row r="9" spans="1:8" ht="18" customHeight="1" x14ac:dyDescent="0.25">
      <c r="A9" s="1" t="s">
        <v>11</v>
      </c>
      <c r="B9" s="4" t="s">
        <v>12</v>
      </c>
    </row>
    <row r="10" spans="1:8" ht="18" customHeight="1" x14ac:dyDescent="0.25">
      <c r="A10" s="1" t="s">
        <v>13</v>
      </c>
      <c r="B10" s="4" t="s">
        <v>14</v>
      </c>
    </row>
    <row r="11" spans="1:8" ht="18" customHeight="1" x14ac:dyDescent="0.25">
      <c r="A11" s="1" t="s">
        <v>15</v>
      </c>
      <c r="B11" s="4" t="s">
        <v>16</v>
      </c>
    </row>
    <row r="12" spans="1:8" ht="18" customHeight="1" x14ac:dyDescent="0.25">
      <c r="A12" s="1" t="s">
        <v>17</v>
      </c>
      <c r="B12" s="4" t="s">
        <v>18</v>
      </c>
    </row>
    <row r="13" spans="1:8" ht="18" customHeight="1" x14ac:dyDescent="0.25">
      <c r="A13" s="1" t="s">
        <v>19</v>
      </c>
      <c r="B13" s="4" t="s">
        <v>20</v>
      </c>
    </row>
  </sheetData>
  <mergeCells count="1">
    <mergeCell ref="A1:H1"/>
  </mergeCells>
  <hyperlinks>
    <hyperlink ref="B7" location="Trace_Working!A1" display="Go to Trace_Working" xr:uid="{00000000-0004-0000-0000-000000000000}"/>
    <hyperlink ref="B8" location="Trace_Exhibit!A1" display="Go to Trace_Exhibit" xr:uid="{00000000-0004-0000-0000-000001000000}"/>
    <hyperlink ref="B9" location="AssetDirectory!A1" display="Go to AssetDirectory" xr:uid="{00000000-0004-0000-0000-000002000000}"/>
    <hyperlink ref="B10" location="ChainRegistry!A1" display="Go to ChainRegistry" xr:uid="{00000000-0004-0000-0000-000003000000}"/>
    <hyperlink ref="B11" location="Settings!A1" display="Go to Settings" xr:uid="{00000000-0004-0000-0000-000004000000}"/>
    <hyperlink ref="B12" location="QA_ChangeLog!A1" display="Go to QA_ChangeLog" xr:uid="{00000000-0004-0000-0000-000005000000}"/>
    <hyperlink ref="B13" location="Guidance!A1" display="Go to Guidance" xr:uid="{00000000-0004-0000-0000-000006000000}"/>
  </hyperlinks>
  <pageMargins left="0.3" right="0.3" top="0.5" bottom="0.5" header="0.3" footer="0.3"/>
  <pageSetup paperSize="8" fitToHeight="0" orientation="landscape" r:id="rId1"/>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showGridLines="0" workbookViewId="0">
      <pane ySplit="5" topLeftCell="A6" activePane="bottomLeft" state="frozen"/>
      <selection pane="bottomLeft" activeCell="A4" sqref="A4"/>
    </sheetView>
  </sheetViews>
  <sheetFormatPr defaultRowHeight="15" x14ac:dyDescent="0.25"/>
  <cols>
    <col min="1" max="1" width="110" customWidth="1"/>
    <col min="2" max="8" width="14" customWidth="1"/>
  </cols>
  <sheetData>
    <row r="1" spans="1:8" ht="30" customHeight="1" x14ac:dyDescent="0.25">
      <c r="A1" s="19" t="s">
        <v>21</v>
      </c>
      <c r="B1" s="20"/>
      <c r="C1" s="20"/>
      <c r="D1" s="20"/>
      <c r="E1" s="20"/>
      <c r="F1" s="20"/>
      <c r="G1" s="20"/>
      <c r="H1" s="20"/>
    </row>
    <row r="2" spans="1:8" ht="33.950000000000003" customHeight="1" x14ac:dyDescent="0.25">
      <c r="A2" s="5" t="s">
        <v>22</v>
      </c>
    </row>
    <row r="3" spans="1:8" ht="33.950000000000003" customHeight="1" x14ac:dyDescent="0.25">
      <c r="A3" s="5" t="s">
        <v>23</v>
      </c>
    </row>
    <row r="4" spans="1:8" ht="33.950000000000003" customHeight="1" x14ac:dyDescent="0.25">
      <c r="A4" s="5" t="s">
        <v>24</v>
      </c>
    </row>
    <row r="5" spans="1:8" ht="33.950000000000003" customHeight="1" x14ac:dyDescent="0.25">
      <c r="A5" s="5" t="s">
        <v>25</v>
      </c>
    </row>
    <row r="6" spans="1:8" ht="18" customHeight="1" x14ac:dyDescent="0.25">
      <c r="A6" s="4" t="s">
        <v>26</v>
      </c>
    </row>
  </sheetData>
  <mergeCells count="1">
    <mergeCell ref="A1:H1"/>
  </mergeCells>
  <hyperlinks>
    <hyperlink ref="A6" location="Index!A1" display="Back to Index" xr:uid="{00000000-0004-0000-01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showGridLines="0" workbookViewId="0">
      <pane ySplit="6" topLeftCell="A7" activePane="bottomLeft" state="frozen"/>
      <selection pane="bottomLeft" activeCell="B29" sqref="B29"/>
    </sheetView>
  </sheetViews>
  <sheetFormatPr defaultRowHeight="15" x14ac:dyDescent="0.25"/>
  <cols>
    <col min="1" max="1" width="10" customWidth="1"/>
    <col min="2" max="2" width="26" customWidth="1"/>
    <col min="3" max="4" width="14" customWidth="1"/>
    <col min="5" max="5" width="16" customWidth="1"/>
  </cols>
  <sheetData>
    <row r="1" spans="1:8" ht="30" customHeight="1" x14ac:dyDescent="0.25">
      <c r="A1" s="19" t="s">
        <v>13</v>
      </c>
      <c r="B1" s="20"/>
      <c r="C1" s="20"/>
      <c r="D1" s="20"/>
      <c r="E1" s="20"/>
      <c r="F1" s="20"/>
      <c r="G1" s="20"/>
      <c r="H1" s="20"/>
    </row>
    <row r="6" spans="1:8" ht="18" customHeight="1" x14ac:dyDescent="0.25">
      <c r="A6" s="4" t="s">
        <v>26</v>
      </c>
      <c r="B6" s="6" t="s">
        <v>27</v>
      </c>
      <c r="C6" s="6" t="s">
        <v>28</v>
      </c>
      <c r="D6" s="6" t="s">
        <v>29</v>
      </c>
      <c r="E6" s="6" t="s">
        <v>30</v>
      </c>
    </row>
    <row r="7" spans="1:8" ht="18" customHeight="1" x14ac:dyDescent="0.25">
      <c r="A7" s="7" t="s">
        <v>31</v>
      </c>
      <c r="B7" s="7" t="s">
        <v>32</v>
      </c>
      <c r="C7" s="7" t="s">
        <v>33</v>
      </c>
      <c r="D7" s="7" t="s">
        <v>31</v>
      </c>
      <c r="E7" s="7">
        <v>18</v>
      </c>
    </row>
    <row r="8" spans="1:8" ht="18" customHeight="1" x14ac:dyDescent="0.25">
      <c r="A8" s="7" t="s">
        <v>34</v>
      </c>
      <c r="B8" s="7" t="s">
        <v>35</v>
      </c>
      <c r="C8" s="7" t="s">
        <v>36</v>
      </c>
      <c r="D8" s="7" t="s">
        <v>34</v>
      </c>
      <c r="E8" s="7">
        <v>8</v>
      </c>
    </row>
    <row r="9" spans="1:8" ht="18" customHeight="1" x14ac:dyDescent="0.25">
      <c r="A9" s="7" t="s">
        <v>37</v>
      </c>
      <c r="B9" s="7" t="s">
        <v>38</v>
      </c>
      <c r="C9" s="7" t="s">
        <v>33</v>
      </c>
      <c r="D9" s="7" t="s">
        <v>37</v>
      </c>
      <c r="E9" s="7">
        <v>6</v>
      </c>
    </row>
    <row r="10" spans="1:8" ht="18" customHeight="1" x14ac:dyDescent="0.25">
      <c r="A10" s="7" t="s">
        <v>39</v>
      </c>
      <c r="B10" s="7" t="s">
        <v>40</v>
      </c>
      <c r="C10" s="7" t="s">
        <v>33</v>
      </c>
      <c r="D10" s="7" t="s">
        <v>39</v>
      </c>
      <c r="E10" s="7">
        <v>9</v>
      </c>
    </row>
    <row r="11" spans="1:8" ht="18" customHeight="1" x14ac:dyDescent="0.25">
      <c r="A11" s="7" t="s">
        <v>41</v>
      </c>
      <c r="B11" s="7" t="s">
        <v>42</v>
      </c>
      <c r="C11" s="7" t="s">
        <v>33</v>
      </c>
      <c r="D11" s="7" t="s">
        <v>43</v>
      </c>
      <c r="E11" s="7">
        <v>18</v>
      </c>
    </row>
  </sheetData>
  <mergeCells count="1">
    <mergeCell ref="A1:H1"/>
  </mergeCells>
  <hyperlinks>
    <hyperlink ref="A6" location="Index!A1" display="Back to Index" xr:uid="{00000000-0004-0000-02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showGridLines="0" workbookViewId="0">
      <pane ySplit="6" topLeftCell="A7" activePane="bottomLeft" state="frozen"/>
      <selection pane="bottomLeft" activeCell="G19" sqref="G19"/>
    </sheetView>
  </sheetViews>
  <sheetFormatPr defaultRowHeight="15" x14ac:dyDescent="0.25"/>
  <cols>
    <col min="1" max="1" width="26" customWidth="1"/>
    <col min="2" max="2" width="10" customWidth="1"/>
    <col min="3" max="3" width="22" customWidth="1"/>
    <col min="4" max="4" width="10" customWidth="1"/>
    <col min="5" max="6" width="12" customWidth="1"/>
    <col min="7" max="7" width="52" customWidth="1"/>
    <col min="8" max="8" width="14" customWidth="1"/>
    <col min="9" max="10" width="20" customWidth="1"/>
    <col min="11" max="11" width="14" customWidth="1"/>
    <col min="12" max="12" width="10" customWidth="1"/>
  </cols>
  <sheetData>
    <row r="1" spans="1:12" ht="30" customHeight="1" x14ac:dyDescent="0.25">
      <c r="A1" s="19" t="s">
        <v>44</v>
      </c>
      <c r="B1" s="20"/>
      <c r="C1" s="20"/>
      <c r="D1" s="20"/>
      <c r="E1" s="20"/>
      <c r="F1" s="20"/>
      <c r="G1" s="20"/>
      <c r="H1" s="20"/>
      <c r="I1" s="20"/>
      <c r="J1" s="20"/>
      <c r="K1" s="20"/>
      <c r="L1" s="20"/>
    </row>
    <row r="6" spans="1:12" ht="18" customHeight="1" x14ac:dyDescent="0.25">
      <c r="A6" s="4" t="s">
        <v>26</v>
      </c>
      <c r="B6" s="6" t="s">
        <v>45</v>
      </c>
      <c r="C6" s="6" t="s">
        <v>46</v>
      </c>
      <c r="D6" s="6" t="s">
        <v>47</v>
      </c>
      <c r="E6" s="6" t="s">
        <v>48</v>
      </c>
      <c r="F6" s="6" t="s">
        <v>49</v>
      </c>
      <c r="G6" s="6" t="s">
        <v>50</v>
      </c>
      <c r="H6" s="6" t="s">
        <v>51</v>
      </c>
      <c r="I6" s="6" t="s">
        <v>52</v>
      </c>
      <c r="J6" s="6" t="s">
        <v>53</v>
      </c>
      <c r="K6" s="6" t="s">
        <v>54</v>
      </c>
      <c r="L6" s="6" t="s">
        <v>55</v>
      </c>
    </row>
    <row r="7" spans="1:12" ht="18" customHeight="1" x14ac:dyDescent="0.25">
      <c r="A7" s="8" t="s">
        <v>56</v>
      </c>
      <c r="B7" s="9" t="s">
        <v>31</v>
      </c>
      <c r="C7" s="9" t="s">
        <v>32</v>
      </c>
      <c r="D7" s="9" t="s">
        <v>31</v>
      </c>
      <c r="E7" s="9" t="s">
        <v>57</v>
      </c>
      <c r="F7" s="9" t="s">
        <v>57</v>
      </c>
      <c r="G7" s="8"/>
      <c r="H7" s="9">
        <v>18</v>
      </c>
      <c r="I7" s="9">
        <v>8</v>
      </c>
      <c r="J7" s="9">
        <v>6</v>
      </c>
      <c r="K7" s="9" t="b">
        <v>0</v>
      </c>
      <c r="L7" s="9" t="b">
        <v>1</v>
      </c>
    </row>
    <row r="8" spans="1:12" ht="18" customHeight="1" x14ac:dyDescent="0.25">
      <c r="A8" s="8" t="s">
        <v>58</v>
      </c>
      <c r="B8" s="9" t="s">
        <v>34</v>
      </c>
      <c r="C8" s="9" t="s">
        <v>35</v>
      </c>
      <c r="D8" s="9" t="s">
        <v>34</v>
      </c>
      <c r="E8" s="9" t="s">
        <v>57</v>
      </c>
      <c r="F8" s="9" t="s">
        <v>36</v>
      </c>
      <c r="G8" s="8"/>
      <c r="H8" s="9">
        <v>8</v>
      </c>
      <c r="I8" s="9">
        <v>6</v>
      </c>
      <c r="J8" s="9">
        <v>4</v>
      </c>
      <c r="K8" s="9" t="b">
        <v>0</v>
      </c>
      <c r="L8" s="9" t="b">
        <v>1</v>
      </c>
    </row>
    <row r="9" spans="1:12" ht="18" customHeight="1" x14ac:dyDescent="0.25">
      <c r="A9" s="8" t="s">
        <v>59</v>
      </c>
      <c r="B9" s="9" t="s">
        <v>37</v>
      </c>
      <c r="C9" s="9" t="s">
        <v>38</v>
      </c>
      <c r="D9" s="9" t="s">
        <v>37</v>
      </c>
      <c r="E9" s="9" t="s">
        <v>57</v>
      </c>
      <c r="F9" s="9" t="s">
        <v>57</v>
      </c>
      <c r="G9" s="8"/>
      <c r="H9" s="9">
        <v>6</v>
      </c>
      <c r="I9" s="9">
        <v>4</v>
      </c>
      <c r="J9" s="9">
        <v>2</v>
      </c>
      <c r="K9" s="9" t="b">
        <v>0</v>
      </c>
      <c r="L9" s="9" t="b">
        <v>1</v>
      </c>
    </row>
    <row r="10" spans="1:12" ht="18" customHeight="1" x14ac:dyDescent="0.25">
      <c r="A10" s="8" t="s">
        <v>60</v>
      </c>
      <c r="B10" s="9" t="s">
        <v>39</v>
      </c>
      <c r="C10" s="9" t="s">
        <v>40</v>
      </c>
      <c r="D10" s="9" t="s">
        <v>39</v>
      </c>
      <c r="E10" s="9" t="s">
        <v>57</v>
      </c>
      <c r="F10" s="9" t="s">
        <v>57</v>
      </c>
      <c r="G10" s="8"/>
      <c r="H10" s="9">
        <v>9</v>
      </c>
      <c r="I10" s="9">
        <v>6</v>
      </c>
      <c r="J10" s="9">
        <v>4</v>
      </c>
      <c r="K10" s="9" t="b">
        <v>0</v>
      </c>
      <c r="L10" s="9" t="b">
        <v>1</v>
      </c>
    </row>
    <row r="11" spans="1:12" ht="18" customHeight="1" x14ac:dyDescent="0.25">
      <c r="A11" s="8" t="s">
        <v>61</v>
      </c>
      <c r="B11" s="9" t="s">
        <v>43</v>
      </c>
      <c r="C11" s="9" t="s">
        <v>62</v>
      </c>
      <c r="D11" s="9" t="s">
        <v>41</v>
      </c>
      <c r="E11" s="9" t="s">
        <v>57</v>
      </c>
      <c r="F11" s="9" t="s">
        <v>57</v>
      </c>
      <c r="G11" s="8"/>
      <c r="H11" s="9">
        <v>18</v>
      </c>
      <c r="I11" s="9">
        <v>8</v>
      </c>
      <c r="J11" s="9">
        <v>6</v>
      </c>
      <c r="K11" s="9" t="b">
        <v>0</v>
      </c>
      <c r="L11" s="9" t="b">
        <v>1</v>
      </c>
    </row>
    <row r="12" spans="1:12" ht="18" customHeight="1" x14ac:dyDescent="0.25">
      <c r="A12" s="8" t="s">
        <v>63</v>
      </c>
      <c r="B12" s="9" t="s">
        <v>64</v>
      </c>
      <c r="C12" s="9" t="s">
        <v>65</v>
      </c>
      <c r="D12" s="9" t="s">
        <v>31</v>
      </c>
      <c r="E12" s="9" t="s">
        <v>66</v>
      </c>
      <c r="F12" s="9" t="s">
        <v>67</v>
      </c>
      <c r="G12" s="8" t="s">
        <v>68</v>
      </c>
      <c r="H12" s="9">
        <v>6</v>
      </c>
      <c r="I12" s="9">
        <v>4</v>
      </c>
      <c r="J12" s="9">
        <v>2</v>
      </c>
      <c r="K12" s="9" t="b">
        <v>1</v>
      </c>
      <c r="L12" s="9" t="b">
        <v>1</v>
      </c>
    </row>
    <row r="13" spans="1:12" ht="18" customHeight="1" x14ac:dyDescent="0.25">
      <c r="A13" s="8" t="s">
        <v>69</v>
      </c>
      <c r="B13" s="9" t="s">
        <v>64</v>
      </c>
      <c r="C13" s="9" t="s">
        <v>65</v>
      </c>
      <c r="D13" s="9" t="s">
        <v>41</v>
      </c>
      <c r="E13" s="9" t="s">
        <v>66</v>
      </c>
      <c r="F13" s="9" t="s">
        <v>70</v>
      </c>
      <c r="G13" s="8" t="s">
        <v>71</v>
      </c>
      <c r="H13" s="9">
        <v>6</v>
      </c>
      <c r="I13" s="9">
        <v>4</v>
      </c>
      <c r="J13" s="9">
        <v>2</v>
      </c>
      <c r="K13" s="9" t="b">
        <v>1</v>
      </c>
      <c r="L13" s="9" t="b">
        <v>1</v>
      </c>
    </row>
    <row r="14" spans="1:12" ht="18" customHeight="1" x14ac:dyDescent="0.25">
      <c r="A14" s="8" t="s">
        <v>72</v>
      </c>
      <c r="B14" s="9" t="s">
        <v>64</v>
      </c>
      <c r="C14" s="9" t="s">
        <v>65</v>
      </c>
      <c r="D14" s="9" t="s">
        <v>37</v>
      </c>
      <c r="E14" s="9" t="s">
        <v>66</v>
      </c>
      <c r="F14" s="9" t="s">
        <v>73</v>
      </c>
      <c r="G14" s="8" t="s">
        <v>74</v>
      </c>
      <c r="H14" s="9">
        <v>6</v>
      </c>
      <c r="I14" s="9">
        <v>4</v>
      </c>
      <c r="J14" s="9">
        <v>2</v>
      </c>
      <c r="K14" s="9" t="b">
        <v>1</v>
      </c>
      <c r="L14" s="9" t="b">
        <v>1</v>
      </c>
    </row>
    <row r="15" spans="1:12" ht="18" customHeight="1" x14ac:dyDescent="0.25">
      <c r="A15" s="8" t="s">
        <v>75</v>
      </c>
      <c r="B15" s="9" t="s">
        <v>76</v>
      </c>
      <c r="C15" s="9" t="s">
        <v>77</v>
      </c>
      <c r="D15" s="9" t="s">
        <v>31</v>
      </c>
      <c r="E15" s="9" t="s">
        <v>66</v>
      </c>
      <c r="F15" s="9" t="s">
        <v>67</v>
      </c>
      <c r="G15" s="8" t="s">
        <v>78</v>
      </c>
      <c r="H15" s="9">
        <v>6</v>
      </c>
      <c r="I15" s="9">
        <v>4</v>
      </c>
      <c r="J15" s="9">
        <v>2</v>
      </c>
      <c r="K15" s="9" t="b">
        <v>1</v>
      </c>
      <c r="L15" s="9" t="b">
        <v>1</v>
      </c>
    </row>
  </sheetData>
  <mergeCells count="1">
    <mergeCell ref="A1:L1"/>
  </mergeCells>
  <hyperlinks>
    <hyperlink ref="A6" location="Index!A1" display="Back to Index" xr:uid="{00000000-0004-0000-03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showGridLines="0" workbookViewId="0">
      <pane ySplit="5" topLeftCell="A6" activePane="bottomLeft" state="frozen"/>
      <selection pane="bottomLeft" activeCell="B2" sqref="B2"/>
    </sheetView>
  </sheetViews>
  <sheetFormatPr defaultRowHeight="15" x14ac:dyDescent="0.25"/>
  <cols>
    <col min="1" max="1" width="34" customWidth="1"/>
    <col min="2" max="2" width="60" customWidth="1"/>
    <col min="3" max="8" width="14" customWidth="1"/>
  </cols>
  <sheetData>
    <row r="1" spans="1:8" ht="30" customHeight="1" x14ac:dyDescent="0.25">
      <c r="A1" s="19" t="s">
        <v>15</v>
      </c>
      <c r="B1" s="20"/>
      <c r="C1" s="20"/>
      <c r="D1" s="20"/>
      <c r="E1" s="20"/>
      <c r="F1" s="20"/>
      <c r="G1" s="20"/>
      <c r="H1" s="20"/>
    </row>
    <row r="2" spans="1:8" ht="20.100000000000001" customHeight="1" x14ac:dyDescent="0.25">
      <c r="A2" s="10" t="s">
        <v>79</v>
      </c>
      <c r="B2" s="11" t="s">
        <v>80</v>
      </c>
    </row>
    <row r="3" spans="1:8" ht="20.100000000000001" customHeight="1" x14ac:dyDescent="0.25">
      <c r="A3" s="11" t="s">
        <v>81</v>
      </c>
      <c r="B3" s="11" t="s">
        <v>82</v>
      </c>
    </row>
    <row r="4" spans="1:8" ht="20.100000000000001" customHeight="1" x14ac:dyDescent="0.25">
      <c r="A4" s="11" t="s">
        <v>83</v>
      </c>
      <c r="B4" s="11" t="s">
        <v>84</v>
      </c>
    </row>
    <row r="6" spans="1:8" ht="18" customHeight="1" x14ac:dyDescent="0.25">
      <c r="A6" s="4" t="s">
        <v>26</v>
      </c>
    </row>
  </sheetData>
  <mergeCells count="1">
    <mergeCell ref="A1:H1"/>
  </mergeCells>
  <dataValidations count="1">
    <dataValidation type="list" sqref="B2" xr:uid="{00000000-0002-0000-0400-000000000000}">
      <formula1>"Analyst,Exhibit"</formula1>
    </dataValidation>
  </dataValidations>
  <hyperlinks>
    <hyperlink ref="A6" location="Index!A1" display="Back to Index" xr:uid="{00000000-0004-0000-04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
  <sheetViews>
    <sheetView showGridLines="0" workbookViewId="0">
      <pane ySplit="6" topLeftCell="A7" activePane="bottomLeft" state="frozen"/>
      <selection pane="bottomLeft" activeCell="H32" sqref="H32"/>
    </sheetView>
  </sheetViews>
  <sheetFormatPr defaultRowHeight="15" x14ac:dyDescent="0.25"/>
  <cols>
    <col min="1" max="1" width="14" customWidth="1"/>
    <col min="2" max="2" width="18" customWidth="1"/>
    <col min="3" max="3" width="60" customWidth="1"/>
    <col min="4" max="4" width="18" customWidth="1"/>
    <col min="5" max="5" width="14" customWidth="1"/>
  </cols>
  <sheetData>
    <row r="1" spans="1:8" ht="30" customHeight="1" x14ac:dyDescent="0.25">
      <c r="A1" s="19" t="s">
        <v>17</v>
      </c>
      <c r="B1" s="20"/>
      <c r="C1" s="20"/>
      <c r="D1" s="20"/>
      <c r="E1" s="20"/>
      <c r="F1" s="20"/>
      <c r="G1" s="20"/>
      <c r="H1" s="20"/>
    </row>
    <row r="6" spans="1:8" ht="18" customHeight="1" x14ac:dyDescent="0.25">
      <c r="A6" s="4" t="s">
        <v>26</v>
      </c>
      <c r="B6" s="6" t="s">
        <v>80</v>
      </c>
      <c r="C6" s="6" t="s">
        <v>85</v>
      </c>
      <c r="D6" s="6" t="s">
        <v>86</v>
      </c>
      <c r="E6" s="6" t="s">
        <v>87</v>
      </c>
    </row>
    <row r="7" spans="1:8" ht="18" customHeight="1" x14ac:dyDescent="0.25">
      <c r="A7" s="7"/>
      <c r="B7" s="7"/>
      <c r="C7" s="7"/>
      <c r="D7" s="7"/>
      <c r="E7" s="7"/>
    </row>
    <row r="8" spans="1:8" ht="18" customHeight="1" x14ac:dyDescent="0.25">
      <c r="A8" s="7"/>
      <c r="B8" s="7"/>
      <c r="C8" s="7"/>
      <c r="D8" s="7"/>
      <c r="E8" s="7"/>
    </row>
    <row r="9" spans="1:8" ht="18" customHeight="1" x14ac:dyDescent="0.25">
      <c r="A9" s="7"/>
      <c r="B9" s="7"/>
      <c r="C9" s="7"/>
      <c r="D9" s="7"/>
      <c r="E9" s="7"/>
    </row>
    <row r="10" spans="1:8" ht="18" customHeight="1" x14ac:dyDescent="0.25">
      <c r="A10" s="7"/>
      <c r="B10" s="7"/>
      <c r="C10" s="7"/>
      <c r="D10" s="7"/>
      <c r="E10" s="7"/>
    </row>
    <row r="11" spans="1:8" ht="18" customHeight="1" x14ac:dyDescent="0.25">
      <c r="A11" s="7"/>
      <c r="B11" s="7"/>
      <c r="C11" s="7"/>
      <c r="D11" s="7"/>
      <c r="E11" s="7"/>
    </row>
    <row r="12" spans="1:8" ht="18" customHeight="1" x14ac:dyDescent="0.25">
      <c r="A12" s="7"/>
      <c r="B12" s="7"/>
      <c r="C12" s="7"/>
      <c r="D12" s="7"/>
      <c r="E12" s="7"/>
    </row>
    <row r="13" spans="1:8" ht="18" customHeight="1" x14ac:dyDescent="0.25">
      <c r="A13" s="7"/>
      <c r="B13" s="7"/>
      <c r="C13" s="7"/>
      <c r="D13" s="7"/>
      <c r="E13" s="7"/>
    </row>
    <row r="14" spans="1:8" ht="18" customHeight="1" x14ac:dyDescent="0.25">
      <c r="A14" s="7"/>
      <c r="B14" s="7"/>
      <c r="C14" s="7"/>
      <c r="D14" s="7"/>
      <c r="E14" s="7"/>
    </row>
    <row r="15" spans="1:8" ht="18" customHeight="1" x14ac:dyDescent="0.25">
      <c r="A15" s="7"/>
      <c r="B15" s="7"/>
      <c r="C15" s="7"/>
      <c r="D15" s="7"/>
      <c r="E15" s="7"/>
    </row>
    <row r="16" spans="1:8" ht="18" customHeight="1" x14ac:dyDescent="0.25">
      <c r="A16" s="7"/>
      <c r="B16" s="7"/>
      <c r="C16" s="7"/>
      <c r="D16" s="7"/>
      <c r="E16" s="7"/>
    </row>
    <row r="17" spans="1:5" ht="18" customHeight="1" x14ac:dyDescent="0.25">
      <c r="A17" s="7"/>
      <c r="B17" s="7"/>
      <c r="C17" s="7"/>
      <c r="D17" s="7"/>
      <c r="E17" s="7"/>
    </row>
    <row r="18" spans="1:5" ht="18" customHeight="1" x14ac:dyDescent="0.25">
      <c r="A18" s="7"/>
      <c r="B18" s="7"/>
      <c r="C18" s="7"/>
      <c r="D18" s="7"/>
      <c r="E18" s="7"/>
    </row>
    <row r="19" spans="1:5" ht="18" customHeight="1" x14ac:dyDescent="0.25">
      <c r="A19" s="7"/>
      <c r="B19" s="7"/>
      <c r="C19" s="7"/>
      <c r="D19" s="7"/>
      <c r="E19" s="7"/>
    </row>
    <row r="20" spans="1:5" ht="18" customHeight="1" x14ac:dyDescent="0.25">
      <c r="A20" s="7"/>
      <c r="B20" s="7"/>
      <c r="C20" s="7"/>
      <c r="D20" s="7"/>
      <c r="E20" s="7"/>
    </row>
    <row r="21" spans="1:5" ht="18" customHeight="1" x14ac:dyDescent="0.25">
      <c r="A21" s="7"/>
      <c r="B21" s="7"/>
      <c r="C21" s="7"/>
      <c r="D21" s="7"/>
      <c r="E21" s="7"/>
    </row>
    <row r="22" spans="1:5" ht="18" customHeight="1" x14ac:dyDescent="0.25">
      <c r="A22" s="7"/>
      <c r="B22" s="7"/>
      <c r="C22" s="7"/>
      <c r="D22" s="7"/>
      <c r="E22" s="7"/>
    </row>
    <row r="23" spans="1:5" ht="18" customHeight="1" x14ac:dyDescent="0.25">
      <c r="A23" s="7"/>
      <c r="B23" s="7"/>
      <c r="C23" s="7"/>
      <c r="D23" s="7"/>
      <c r="E23" s="7"/>
    </row>
    <row r="24" spans="1:5" ht="18" customHeight="1" x14ac:dyDescent="0.25">
      <c r="A24" s="7"/>
      <c r="B24" s="7"/>
      <c r="C24" s="7"/>
      <c r="D24" s="7"/>
      <c r="E24" s="7"/>
    </row>
    <row r="25" spans="1:5" ht="18" customHeight="1" x14ac:dyDescent="0.25">
      <c r="A25" s="7"/>
      <c r="B25" s="7"/>
      <c r="C25" s="7"/>
      <c r="D25" s="7"/>
      <c r="E25" s="7"/>
    </row>
    <row r="26" spans="1:5" ht="18" customHeight="1" x14ac:dyDescent="0.25">
      <c r="A26" s="7"/>
      <c r="B26" s="7"/>
      <c r="C26" s="7"/>
      <c r="D26" s="7"/>
      <c r="E26" s="7"/>
    </row>
    <row r="27" spans="1:5" ht="18" customHeight="1" x14ac:dyDescent="0.25">
      <c r="A27" s="7"/>
      <c r="B27" s="7"/>
      <c r="C27" s="7"/>
      <c r="D27" s="7"/>
      <c r="E27" s="7"/>
    </row>
    <row r="28" spans="1:5" ht="18" customHeight="1" x14ac:dyDescent="0.25">
      <c r="A28" s="7"/>
      <c r="B28" s="7"/>
      <c r="C28" s="7"/>
      <c r="D28" s="7"/>
      <c r="E28" s="7"/>
    </row>
    <row r="29" spans="1:5" ht="18" customHeight="1" x14ac:dyDescent="0.25">
      <c r="A29" s="7"/>
      <c r="B29" s="7"/>
      <c r="C29" s="7"/>
      <c r="D29" s="7"/>
      <c r="E29" s="7"/>
    </row>
  </sheetData>
  <mergeCells count="1">
    <mergeCell ref="A1:H1"/>
  </mergeCells>
  <hyperlinks>
    <hyperlink ref="A6" location="Index!A1" display="Back to Index" xr:uid="{00000000-0004-0000-05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7"/>
  <sheetViews>
    <sheetView showGridLines="0" workbookViewId="0">
      <pane ySplit="7" topLeftCell="A8" activePane="bottomLeft" state="frozen"/>
      <selection pane="bottomLeft" activeCell="H2" sqref="H2"/>
    </sheetView>
  </sheetViews>
  <sheetFormatPr defaultRowHeight="15" x14ac:dyDescent="0.25"/>
  <cols>
    <col min="1" max="1" width="8" customWidth="1"/>
    <col min="2" max="2" width="10" customWidth="1"/>
    <col min="3" max="3" width="18" customWidth="1"/>
    <col min="4" max="4" width="10" customWidth="1"/>
    <col min="5" max="5" width="12" customWidth="1"/>
    <col min="6" max="6" width="66" customWidth="1"/>
    <col min="7" max="8" width="52" customWidth="1"/>
    <col min="9" max="9" width="26" customWidth="1"/>
    <col min="10" max="10" width="20" customWidth="1"/>
    <col min="11" max="12" width="12" customWidth="1"/>
    <col min="13" max="13" width="22" customWidth="1"/>
    <col min="14" max="14" width="12" customWidth="1"/>
    <col min="15" max="15" width="18" customWidth="1"/>
  </cols>
  <sheetData>
    <row r="1" spans="1:15" ht="30" customHeight="1" x14ac:dyDescent="0.25">
      <c r="A1" s="19" t="s">
        <v>88</v>
      </c>
      <c r="B1" s="20"/>
      <c r="C1" s="20"/>
      <c r="D1" s="20"/>
      <c r="E1" s="20"/>
      <c r="F1" s="20"/>
      <c r="G1" s="20"/>
      <c r="H1" s="20"/>
      <c r="I1" s="20"/>
      <c r="J1" s="20"/>
      <c r="K1" s="20"/>
      <c r="L1" s="20"/>
      <c r="M1" s="20"/>
      <c r="N1" s="20"/>
      <c r="O1" s="20"/>
    </row>
    <row r="2" spans="1:15" ht="20.100000000000001" customHeight="1" x14ac:dyDescent="0.25">
      <c r="A2" s="1" t="s">
        <v>89</v>
      </c>
      <c r="B2" t="s">
        <v>90</v>
      </c>
      <c r="D2" s="1" t="s">
        <v>2</v>
      </c>
      <c r="E2" t="s">
        <v>91</v>
      </c>
      <c r="G2" s="1" t="s">
        <v>92</v>
      </c>
      <c r="H2" t="str">
        <f>ViewMode</f>
        <v>Analyst</v>
      </c>
      <c r="N2" s="4" t="s">
        <v>26</v>
      </c>
    </row>
    <row r="3" spans="1:15" ht="20.100000000000001" customHeight="1" x14ac:dyDescent="0.25"/>
    <row r="4" spans="1:15" ht="20.100000000000001" customHeight="1" x14ac:dyDescent="0.25"/>
    <row r="5" spans="1:15" ht="20.100000000000001" customHeight="1" x14ac:dyDescent="0.25"/>
    <row r="7" spans="1:15" ht="26.1" customHeight="1" x14ac:dyDescent="0.25">
      <c r="A7" s="6" t="s">
        <v>93</v>
      </c>
      <c r="B7" s="6" t="s">
        <v>94</v>
      </c>
      <c r="C7" s="6" t="s">
        <v>95</v>
      </c>
      <c r="D7" s="6" t="s">
        <v>47</v>
      </c>
      <c r="E7" s="6" t="s">
        <v>96</v>
      </c>
      <c r="F7" s="6" t="s">
        <v>97</v>
      </c>
      <c r="G7" s="6" t="s">
        <v>98</v>
      </c>
      <c r="H7" s="6" t="s">
        <v>99</v>
      </c>
      <c r="I7" s="6" t="s">
        <v>100</v>
      </c>
      <c r="J7" s="6" t="s">
        <v>101</v>
      </c>
      <c r="K7" s="6" t="s">
        <v>102</v>
      </c>
      <c r="L7" s="6" t="s">
        <v>103</v>
      </c>
      <c r="M7" s="6" t="s">
        <v>104</v>
      </c>
      <c r="N7" s="6" t="s">
        <v>105</v>
      </c>
      <c r="O7" s="6" t="s">
        <v>106</v>
      </c>
    </row>
    <row r="8" spans="1:15" ht="18" customHeight="1" x14ac:dyDescent="0.25">
      <c r="A8" s="7"/>
      <c r="B8" s="7"/>
      <c r="C8" s="16"/>
      <c r="D8" s="7"/>
      <c r="E8" s="12"/>
      <c r="F8" s="13"/>
      <c r="G8" s="13"/>
      <c r="H8" s="13"/>
      <c r="I8" s="13"/>
      <c r="J8" s="17"/>
      <c r="K8" s="14" t="str">
        <f>IF($I8="","",INDEX(AssetDirectory[DecimalsDisplayAnalyst],MATCH($I8,#REF!,0)))</f>
        <v/>
      </c>
      <c r="L8" s="14" t="str">
        <f>IF($I8="","",INDEX(AssetDirectory[DecimalsDisplayExhibit],MATCH($I8,#REF!,0)))</f>
        <v/>
      </c>
      <c r="M8" s="7" t="str">
        <f t="shared" ref="M8:M39" si="0">IF(OR($J8="",ViewMode=""),"",TEXT($J8,"#,##0."&amp;REPT("0",IF(ViewMode="Exhibit",$L8,$K8))))</f>
        <v/>
      </c>
      <c r="N8" s="18"/>
      <c r="O8" s="15" t="str">
        <f t="shared" ref="O8:O39" si="1">IF(OR($J8="",$N8=""),"",ROUND($J8*$N8,2))</f>
        <v/>
      </c>
    </row>
    <row r="9" spans="1:15" ht="18" customHeight="1" x14ac:dyDescent="0.25">
      <c r="A9" s="7"/>
      <c r="B9" s="7"/>
      <c r="C9" s="16"/>
      <c r="D9" s="7"/>
      <c r="E9" s="12"/>
      <c r="F9" s="13"/>
      <c r="G9" s="13"/>
      <c r="H9" s="13"/>
      <c r="I9" s="13"/>
      <c r="J9" s="17"/>
      <c r="K9" s="14" t="str">
        <f>IF($I9="","",INDEX(AssetDirectory[DecimalsDisplayAnalyst],MATCH($I9,#REF!,0)))</f>
        <v/>
      </c>
      <c r="L9" s="14" t="str">
        <f>IF($I9="","",INDEX(AssetDirectory[DecimalsDisplayExhibit],MATCH($I9,#REF!,0)))</f>
        <v/>
      </c>
      <c r="M9" s="7" t="str">
        <f t="shared" si="0"/>
        <v/>
      </c>
      <c r="N9" s="18"/>
      <c r="O9" s="15" t="str">
        <f t="shared" si="1"/>
        <v/>
      </c>
    </row>
    <row r="10" spans="1:15" ht="18" customHeight="1" x14ac:dyDescent="0.25">
      <c r="A10" s="7"/>
      <c r="B10" s="7"/>
      <c r="C10" s="16"/>
      <c r="D10" s="7"/>
      <c r="E10" s="12"/>
      <c r="F10" s="13"/>
      <c r="G10" s="13"/>
      <c r="H10" s="13"/>
      <c r="I10" s="13"/>
      <c r="J10" s="17"/>
      <c r="K10" s="14" t="str">
        <f>IF($I10="","",INDEX(AssetDirectory[DecimalsDisplayAnalyst],MATCH($I10,#REF!,0)))</f>
        <v/>
      </c>
      <c r="L10" s="14" t="str">
        <f>IF($I10="","",INDEX(AssetDirectory[DecimalsDisplayExhibit],MATCH($I10,#REF!,0)))</f>
        <v/>
      </c>
      <c r="M10" s="7" t="str">
        <f t="shared" si="0"/>
        <v/>
      </c>
      <c r="N10" s="18"/>
      <c r="O10" s="15" t="str">
        <f t="shared" si="1"/>
        <v/>
      </c>
    </row>
    <row r="11" spans="1:15" ht="18" customHeight="1" x14ac:dyDescent="0.25">
      <c r="A11" s="7"/>
      <c r="B11" s="7"/>
      <c r="C11" s="16"/>
      <c r="D11" s="7"/>
      <c r="E11" s="12"/>
      <c r="F11" s="13"/>
      <c r="G11" s="13"/>
      <c r="H11" s="13"/>
      <c r="I11" s="13"/>
      <c r="J11" s="17"/>
      <c r="K11" s="14" t="str">
        <f>IF($I11="","",INDEX(AssetDirectory[DecimalsDisplayAnalyst],MATCH($I11,#REF!,0)))</f>
        <v/>
      </c>
      <c r="L11" s="14" t="str">
        <f>IF($I11="","",INDEX(AssetDirectory[DecimalsDisplayExhibit],MATCH($I11,#REF!,0)))</f>
        <v/>
      </c>
      <c r="M11" s="7" t="str">
        <f t="shared" si="0"/>
        <v/>
      </c>
      <c r="N11" s="18"/>
      <c r="O11" s="15" t="str">
        <f t="shared" si="1"/>
        <v/>
      </c>
    </row>
    <row r="12" spans="1:15" ht="18" customHeight="1" x14ac:dyDescent="0.25">
      <c r="A12" s="7"/>
      <c r="B12" s="7"/>
      <c r="C12" s="16"/>
      <c r="D12" s="7"/>
      <c r="E12" s="12"/>
      <c r="F12" s="13"/>
      <c r="G12" s="13"/>
      <c r="H12" s="13"/>
      <c r="I12" s="13"/>
      <c r="J12" s="17"/>
      <c r="K12" s="14" t="str">
        <f>IF($I12="","",INDEX(AssetDirectory[DecimalsDisplayAnalyst],MATCH($I12,#REF!,0)))</f>
        <v/>
      </c>
      <c r="L12" s="14" t="str">
        <f>IF($I12="","",INDEX(AssetDirectory[DecimalsDisplayExhibit],MATCH($I12,#REF!,0)))</f>
        <v/>
      </c>
      <c r="M12" s="7" t="str">
        <f t="shared" si="0"/>
        <v/>
      </c>
      <c r="N12" s="18"/>
      <c r="O12" s="15" t="str">
        <f t="shared" si="1"/>
        <v/>
      </c>
    </row>
    <row r="13" spans="1:15" ht="18" customHeight="1" x14ac:dyDescent="0.25">
      <c r="A13" s="7"/>
      <c r="B13" s="7"/>
      <c r="C13" s="16"/>
      <c r="D13" s="7"/>
      <c r="E13" s="12"/>
      <c r="F13" s="13"/>
      <c r="G13" s="13"/>
      <c r="H13" s="13"/>
      <c r="I13" s="13"/>
      <c r="J13" s="17"/>
      <c r="K13" s="14" t="str">
        <f>IF($I13="","",INDEX(AssetDirectory[DecimalsDisplayAnalyst],MATCH($I13,#REF!,0)))</f>
        <v/>
      </c>
      <c r="L13" s="14" t="str">
        <f>IF($I13="","",INDEX(AssetDirectory[DecimalsDisplayExhibit],MATCH($I13,#REF!,0)))</f>
        <v/>
      </c>
      <c r="M13" s="7" t="str">
        <f t="shared" si="0"/>
        <v/>
      </c>
      <c r="N13" s="18"/>
      <c r="O13" s="15" t="str">
        <f t="shared" si="1"/>
        <v/>
      </c>
    </row>
    <row r="14" spans="1:15" ht="18" customHeight="1" x14ac:dyDescent="0.25">
      <c r="A14" s="7"/>
      <c r="B14" s="7"/>
      <c r="C14" s="16"/>
      <c r="D14" s="7"/>
      <c r="E14" s="12"/>
      <c r="F14" s="13"/>
      <c r="G14" s="13"/>
      <c r="H14" s="13"/>
      <c r="I14" s="13"/>
      <c r="J14" s="17"/>
      <c r="K14" s="14" t="str">
        <f>IF($I14="","",INDEX(AssetDirectory[DecimalsDisplayAnalyst],MATCH($I14,#REF!,0)))</f>
        <v/>
      </c>
      <c r="L14" s="14" t="str">
        <f>IF($I14="","",INDEX(AssetDirectory[DecimalsDisplayExhibit],MATCH($I14,#REF!,0)))</f>
        <v/>
      </c>
      <c r="M14" s="7" t="str">
        <f t="shared" si="0"/>
        <v/>
      </c>
      <c r="N14" s="18"/>
      <c r="O14" s="15" t="str">
        <f t="shared" si="1"/>
        <v/>
      </c>
    </row>
    <row r="15" spans="1:15" ht="18" customHeight="1" x14ac:dyDescent="0.25">
      <c r="A15" s="7"/>
      <c r="B15" s="7"/>
      <c r="C15" s="16"/>
      <c r="D15" s="7"/>
      <c r="E15" s="12"/>
      <c r="F15" s="13"/>
      <c r="G15" s="13"/>
      <c r="H15" s="13"/>
      <c r="I15" s="13"/>
      <c r="J15" s="17"/>
      <c r="K15" s="14" t="str">
        <f>IF($I15="","",INDEX(AssetDirectory[DecimalsDisplayAnalyst],MATCH($I15,#REF!,0)))</f>
        <v/>
      </c>
      <c r="L15" s="14" t="str">
        <f>IF($I15="","",INDEX(AssetDirectory[DecimalsDisplayExhibit],MATCH($I15,#REF!,0)))</f>
        <v/>
      </c>
      <c r="M15" s="7" t="str">
        <f t="shared" si="0"/>
        <v/>
      </c>
      <c r="N15" s="18"/>
      <c r="O15" s="15" t="str">
        <f t="shared" si="1"/>
        <v/>
      </c>
    </row>
    <row r="16" spans="1:15" ht="18" customHeight="1" x14ac:dyDescent="0.25">
      <c r="A16" s="7"/>
      <c r="B16" s="7"/>
      <c r="C16" s="16"/>
      <c r="D16" s="7"/>
      <c r="E16" s="12"/>
      <c r="F16" s="13"/>
      <c r="G16" s="13"/>
      <c r="H16" s="13"/>
      <c r="I16" s="13"/>
      <c r="J16" s="17"/>
      <c r="K16" s="14" t="str">
        <f>IF($I16="","",INDEX(AssetDirectory[DecimalsDisplayAnalyst],MATCH($I16,#REF!,0)))</f>
        <v/>
      </c>
      <c r="L16" s="14" t="str">
        <f>IF($I16="","",INDEX(AssetDirectory[DecimalsDisplayExhibit],MATCH($I16,#REF!,0)))</f>
        <v/>
      </c>
      <c r="M16" s="7" t="str">
        <f t="shared" si="0"/>
        <v/>
      </c>
      <c r="N16" s="18"/>
      <c r="O16" s="15" t="str">
        <f t="shared" si="1"/>
        <v/>
      </c>
    </row>
    <row r="17" spans="1:15" ht="18" customHeight="1" x14ac:dyDescent="0.25">
      <c r="A17" s="7"/>
      <c r="B17" s="7"/>
      <c r="C17" s="16"/>
      <c r="D17" s="7"/>
      <c r="E17" s="12"/>
      <c r="F17" s="13"/>
      <c r="G17" s="13"/>
      <c r="H17" s="13"/>
      <c r="I17" s="13"/>
      <c r="J17" s="17"/>
      <c r="K17" s="14" t="str">
        <f>IF($I17="","",INDEX(AssetDirectory[DecimalsDisplayAnalyst],MATCH($I17,#REF!,0)))</f>
        <v/>
      </c>
      <c r="L17" s="14" t="str">
        <f>IF($I17="","",INDEX(AssetDirectory[DecimalsDisplayExhibit],MATCH($I17,#REF!,0)))</f>
        <v/>
      </c>
      <c r="M17" s="7" t="str">
        <f t="shared" si="0"/>
        <v/>
      </c>
      <c r="N17" s="18"/>
      <c r="O17" s="15" t="str">
        <f t="shared" si="1"/>
        <v/>
      </c>
    </row>
    <row r="18" spans="1:15" ht="18" customHeight="1" x14ac:dyDescent="0.25">
      <c r="A18" s="7"/>
      <c r="B18" s="7"/>
      <c r="C18" s="16"/>
      <c r="D18" s="7"/>
      <c r="E18" s="12"/>
      <c r="F18" s="13"/>
      <c r="G18" s="13"/>
      <c r="H18" s="13"/>
      <c r="I18" s="13"/>
      <c r="J18" s="17"/>
      <c r="K18" s="14" t="str">
        <f>IF($I18="","",INDEX(AssetDirectory[DecimalsDisplayAnalyst],MATCH($I18,#REF!,0)))</f>
        <v/>
      </c>
      <c r="L18" s="14" t="str">
        <f>IF($I18="","",INDEX(AssetDirectory[DecimalsDisplayExhibit],MATCH($I18,#REF!,0)))</f>
        <v/>
      </c>
      <c r="M18" s="7" t="str">
        <f t="shared" si="0"/>
        <v/>
      </c>
      <c r="N18" s="18"/>
      <c r="O18" s="15" t="str">
        <f t="shared" si="1"/>
        <v/>
      </c>
    </row>
    <row r="19" spans="1:15" ht="18" customHeight="1" x14ac:dyDescent="0.25">
      <c r="A19" s="7"/>
      <c r="B19" s="7"/>
      <c r="C19" s="16"/>
      <c r="D19" s="7"/>
      <c r="E19" s="12"/>
      <c r="F19" s="13"/>
      <c r="G19" s="13"/>
      <c r="H19" s="13"/>
      <c r="I19" s="13"/>
      <c r="J19" s="17"/>
      <c r="K19" s="14" t="str">
        <f>IF($I19="","",INDEX(AssetDirectory[DecimalsDisplayAnalyst],MATCH($I19,#REF!,0)))</f>
        <v/>
      </c>
      <c r="L19" s="14" t="str">
        <f>IF($I19="","",INDEX(AssetDirectory[DecimalsDisplayExhibit],MATCH($I19,#REF!,0)))</f>
        <v/>
      </c>
      <c r="M19" s="7" t="str">
        <f t="shared" si="0"/>
        <v/>
      </c>
      <c r="N19" s="18"/>
      <c r="O19" s="15" t="str">
        <f t="shared" si="1"/>
        <v/>
      </c>
    </row>
    <row r="20" spans="1:15" ht="18" customHeight="1" x14ac:dyDescent="0.25">
      <c r="A20" s="7"/>
      <c r="B20" s="7"/>
      <c r="C20" s="16"/>
      <c r="D20" s="7"/>
      <c r="E20" s="12"/>
      <c r="F20" s="13"/>
      <c r="G20" s="13"/>
      <c r="H20" s="13"/>
      <c r="I20" s="13"/>
      <c r="J20" s="17"/>
      <c r="K20" s="14" t="str">
        <f>IF($I20="","",INDEX(AssetDirectory[DecimalsDisplayAnalyst],MATCH($I20,#REF!,0)))</f>
        <v/>
      </c>
      <c r="L20" s="14" t="str">
        <f>IF($I20="","",INDEX(AssetDirectory[DecimalsDisplayExhibit],MATCH($I20,#REF!,0)))</f>
        <v/>
      </c>
      <c r="M20" s="7" t="str">
        <f t="shared" si="0"/>
        <v/>
      </c>
      <c r="N20" s="18"/>
      <c r="O20" s="15" t="str">
        <f t="shared" si="1"/>
        <v/>
      </c>
    </row>
    <row r="21" spans="1:15" ht="18" customHeight="1" x14ac:dyDescent="0.25">
      <c r="A21" s="7"/>
      <c r="B21" s="7"/>
      <c r="C21" s="16"/>
      <c r="D21" s="7"/>
      <c r="E21" s="12"/>
      <c r="F21" s="13"/>
      <c r="G21" s="13"/>
      <c r="H21" s="13"/>
      <c r="I21" s="13"/>
      <c r="J21" s="17"/>
      <c r="K21" s="14" t="str">
        <f>IF($I21="","",INDEX(AssetDirectory[DecimalsDisplayAnalyst],MATCH($I21,#REF!,0)))</f>
        <v/>
      </c>
      <c r="L21" s="14" t="str">
        <f>IF($I21="","",INDEX(AssetDirectory[DecimalsDisplayExhibit],MATCH($I21,#REF!,0)))</f>
        <v/>
      </c>
      <c r="M21" s="7" t="str">
        <f t="shared" si="0"/>
        <v/>
      </c>
      <c r="N21" s="18"/>
      <c r="O21" s="15" t="str">
        <f t="shared" si="1"/>
        <v/>
      </c>
    </row>
    <row r="22" spans="1:15" ht="18" customHeight="1" x14ac:dyDescent="0.25">
      <c r="A22" s="7"/>
      <c r="B22" s="7"/>
      <c r="C22" s="16"/>
      <c r="D22" s="7"/>
      <c r="E22" s="12"/>
      <c r="F22" s="13"/>
      <c r="G22" s="13"/>
      <c r="H22" s="13"/>
      <c r="I22" s="13"/>
      <c r="J22" s="17"/>
      <c r="K22" s="14" t="str">
        <f>IF($I22="","",INDEX(AssetDirectory[DecimalsDisplayAnalyst],MATCH($I22,#REF!,0)))</f>
        <v/>
      </c>
      <c r="L22" s="14" t="str">
        <f>IF($I22="","",INDEX(AssetDirectory[DecimalsDisplayExhibit],MATCH($I22,#REF!,0)))</f>
        <v/>
      </c>
      <c r="M22" s="7" t="str">
        <f t="shared" si="0"/>
        <v/>
      </c>
      <c r="N22" s="18"/>
      <c r="O22" s="15" t="str">
        <f t="shared" si="1"/>
        <v/>
      </c>
    </row>
    <row r="23" spans="1:15" ht="18" customHeight="1" x14ac:dyDescent="0.25">
      <c r="A23" s="7"/>
      <c r="B23" s="7"/>
      <c r="C23" s="16"/>
      <c r="D23" s="7"/>
      <c r="E23" s="12"/>
      <c r="F23" s="13"/>
      <c r="G23" s="13"/>
      <c r="H23" s="13"/>
      <c r="I23" s="13"/>
      <c r="J23" s="17"/>
      <c r="K23" s="14" t="str">
        <f>IF($I23="","",INDEX(AssetDirectory[DecimalsDisplayAnalyst],MATCH($I23,#REF!,0)))</f>
        <v/>
      </c>
      <c r="L23" s="14" t="str">
        <f>IF($I23="","",INDEX(AssetDirectory[DecimalsDisplayExhibit],MATCH($I23,#REF!,0)))</f>
        <v/>
      </c>
      <c r="M23" s="7" t="str">
        <f t="shared" si="0"/>
        <v/>
      </c>
      <c r="N23" s="18"/>
      <c r="O23" s="15" t="str">
        <f t="shared" si="1"/>
        <v/>
      </c>
    </row>
    <row r="24" spans="1:15" ht="18" customHeight="1" x14ac:dyDescent="0.25">
      <c r="A24" s="7"/>
      <c r="B24" s="7"/>
      <c r="C24" s="16"/>
      <c r="D24" s="7"/>
      <c r="E24" s="12"/>
      <c r="F24" s="13"/>
      <c r="G24" s="13"/>
      <c r="H24" s="13"/>
      <c r="I24" s="13"/>
      <c r="J24" s="17"/>
      <c r="K24" s="14" t="str">
        <f>IF($I24="","",INDEX(AssetDirectory[DecimalsDisplayAnalyst],MATCH($I24,#REF!,0)))</f>
        <v/>
      </c>
      <c r="L24" s="14" t="str">
        <f>IF($I24="","",INDEX(AssetDirectory[DecimalsDisplayExhibit],MATCH($I24,#REF!,0)))</f>
        <v/>
      </c>
      <c r="M24" s="7" t="str">
        <f t="shared" si="0"/>
        <v/>
      </c>
      <c r="N24" s="18"/>
      <c r="O24" s="15" t="str">
        <f t="shared" si="1"/>
        <v/>
      </c>
    </row>
    <row r="25" spans="1:15" ht="18" customHeight="1" x14ac:dyDescent="0.25">
      <c r="A25" s="7"/>
      <c r="B25" s="7"/>
      <c r="C25" s="16"/>
      <c r="D25" s="7"/>
      <c r="E25" s="12"/>
      <c r="F25" s="13"/>
      <c r="G25" s="13"/>
      <c r="H25" s="13"/>
      <c r="I25" s="13"/>
      <c r="J25" s="17"/>
      <c r="K25" s="14" t="str">
        <f>IF($I25="","",INDEX(AssetDirectory[DecimalsDisplayAnalyst],MATCH($I25,#REF!,0)))</f>
        <v/>
      </c>
      <c r="L25" s="14" t="str">
        <f>IF($I25="","",INDEX(AssetDirectory[DecimalsDisplayExhibit],MATCH($I25,#REF!,0)))</f>
        <v/>
      </c>
      <c r="M25" s="7" t="str">
        <f t="shared" si="0"/>
        <v/>
      </c>
      <c r="N25" s="18"/>
      <c r="O25" s="15" t="str">
        <f t="shared" si="1"/>
        <v/>
      </c>
    </row>
    <row r="26" spans="1:15" ht="18" customHeight="1" x14ac:dyDescent="0.25">
      <c r="A26" s="7"/>
      <c r="B26" s="7"/>
      <c r="C26" s="16"/>
      <c r="D26" s="7"/>
      <c r="E26" s="12"/>
      <c r="F26" s="13"/>
      <c r="G26" s="13"/>
      <c r="H26" s="13"/>
      <c r="I26" s="13"/>
      <c r="J26" s="17"/>
      <c r="K26" s="14" t="str">
        <f>IF($I26="","",INDEX(AssetDirectory[DecimalsDisplayAnalyst],MATCH($I26,#REF!,0)))</f>
        <v/>
      </c>
      <c r="L26" s="14" t="str">
        <f>IF($I26="","",INDEX(AssetDirectory[DecimalsDisplayExhibit],MATCH($I26,#REF!,0)))</f>
        <v/>
      </c>
      <c r="M26" s="7" t="str">
        <f t="shared" si="0"/>
        <v/>
      </c>
      <c r="N26" s="18"/>
      <c r="O26" s="15" t="str">
        <f t="shared" si="1"/>
        <v/>
      </c>
    </row>
    <row r="27" spans="1:15" ht="18" customHeight="1" x14ac:dyDescent="0.25">
      <c r="A27" s="7"/>
      <c r="B27" s="7"/>
      <c r="C27" s="16"/>
      <c r="D27" s="7"/>
      <c r="E27" s="12"/>
      <c r="F27" s="13"/>
      <c r="G27" s="13"/>
      <c r="H27" s="13"/>
      <c r="I27" s="13"/>
      <c r="J27" s="17"/>
      <c r="K27" s="14" t="str">
        <f>IF($I27="","",INDEX(AssetDirectory[DecimalsDisplayAnalyst],MATCH($I27,#REF!,0)))</f>
        <v/>
      </c>
      <c r="L27" s="14" t="str">
        <f>IF($I27="","",INDEX(AssetDirectory[DecimalsDisplayExhibit],MATCH($I27,#REF!,0)))</f>
        <v/>
      </c>
      <c r="M27" s="7" t="str">
        <f t="shared" si="0"/>
        <v/>
      </c>
      <c r="N27" s="18"/>
      <c r="O27" s="15" t="str">
        <f t="shared" si="1"/>
        <v/>
      </c>
    </row>
    <row r="28" spans="1:15" ht="18" customHeight="1" x14ac:dyDescent="0.25">
      <c r="A28" s="7"/>
      <c r="B28" s="7"/>
      <c r="C28" s="16"/>
      <c r="D28" s="7"/>
      <c r="E28" s="12"/>
      <c r="F28" s="13"/>
      <c r="G28" s="13"/>
      <c r="H28" s="13"/>
      <c r="I28" s="13"/>
      <c r="J28" s="17"/>
      <c r="K28" s="14" t="str">
        <f>IF($I28="","",INDEX(AssetDirectory[DecimalsDisplayAnalyst],MATCH($I28,#REF!,0)))</f>
        <v/>
      </c>
      <c r="L28" s="14" t="str">
        <f>IF($I28="","",INDEX(AssetDirectory[DecimalsDisplayExhibit],MATCH($I28,#REF!,0)))</f>
        <v/>
      </c>
      <c r="M28" s="7" t="str">
        <f t="shared" si="0"/>
        <v/>
      </c>
      <c r="N28" s="18"/>
      <c r="O28" s="15" t="str">
        <f t="shared" si="1"/>
        <v/>
      </c>
    </row>
    <row r="29" spans="1:15" ht="18" customHeight="1" x14ac:dyDescent="0.25">
      <c r="A29" s="7"/>
      <c r="B29" s="7"/>
      <c r="C29" s="16"/>
      <c r="D29" s="7"/>
      <c r="E29" s="12"/>
      <c r="F29" s="13"/>
      <c r="G29" s="13"/>
      <c r="H29" s="13"/>
      <c r="I29" s="13"/>
      <c r="J29" s="17"/>
      <c r="K29" s="14" t="str">
        <f>IF($I29="","",INDEX(AssetDirectory[DecimalsDisplayAnalyst],MATCH($I29,#REF!,0)))</f>
        <v/>
      </c>
      <c r="L29" s="14" t="str">
        <f>IF($I29="","",INDEX(AssetDirectory[DecimalsDisplayExhibit],MATCH($I29,#REF!,0)))</f>
        <v/>
      </c>
      <c r="M29" s="7" t="str">
        <f t="shared" si="0"/>
        <v/>
      </c>
      <c r="N29" s="18"/>
      <c r="O29" s="15" t="str">
        <f t="shared" si="1"/>
        <v/>
      </c>
    </row>
    <row r="30" spans="1:15" ht="18" customHeight="1" x14ac:dyDescent="0.25">
      <c r="A30" s="7"/>
      <c r="B30" s="7"/>
      <c r="C30" s="16"/>
      <c r="D30" s="7"/>
      <c r="E30" s="12"/>
      <c r="F30" s="13"/>
      <c r="G30" s="13"/>
      <c r="H30" s="13"/>
      <c r="I30" s="13"/>
      <c r="J30" s="17"/>
      <c r="K30" s="14" t="str">
        <f>IF($I30="","",INDEX(AssetDirectory[DecimalsDisplayAnalyst],MATCH($I30,#REF!,0)))</f>
        <v/>
      </c>
      <c r="L30" s="14" t="str">
        <f>IF($I30="","",INDEX(AssetDirectory[DecimalsDisplayExhibit],MATCH($I30,#REF!,0)))</f>
        <v/>
      </c>
      <c r="M30" s="7" t="str">
        <f t="shared" si="0"/>
        <v/>
      </c>
      <c r="N30" s="18"/>
      <c r="O30" s="15" t="str">
        <f t="shared" si="1"/>
        <v/>
      </c>
    </row>
    <row r="31" spans="1:15" ht="18" customHeight="1" x14ac:dyDescent="0.25">
      <c r="A31" s="7"/>
      <c r="B31" s="7"/>
      <c r="C31" s="16"/>
      <c r="D31" s="7"/>
      <c r="E31" s="12"/>
      <c r="F31" s="13"/>
      <c r="G31" s="13"/>
      <c r="H31" s="13"/>
      <c r="I31" s="13"/>
      <c r="J31" s="17"/>
      <c r="K31" s="14" t="str">
        <f>IF($I31="","",INDEX(AssetDirectory[DecimalsDisplayAnalyst],MATCH($I31,#REF!,0)))</f>
        <v/>
      </c>
      <c r="L31" s="14" t="str">
        <f>IF($I31="","",INDEX(AssetDirectory[DecimalsDisplayExhibit],MATCH($I31,#REF!,0)))</f>
        <v/>
      </c>
      <c r="M31" s="7" t="str">
        <f t="shared" si="0"/>
        <v/>
      </c>
      <c r="N31" s="18"/>
      <c r="O31" s="15" t="str">
        <f t="shared" si="1"/>
        <v/>
      </c>
    </row>
    <row r="32" spans="1:15" ht="18" customHeight="1" x14ac:dyDescent="0.25">
      <c r="A32" s="7"/>
      <c r="B32" s="7"/>
      <c r="C32" s="16"/>
      <c r="D32" s="7"/>
      <c r="E32" s="12"/>
      <c r="F32" s="13"/>
      <c r="G32" s="13"/>
      <c r="H32" s="13"/>
      <c r="I32" s="13"/>
      <c r="J32" s="17"/>
      <c r="K32" s="14" t="str">
        <f>IF($I32="","",INDEX(AssetDirectory[DecimalsDisplayAnalyst],MATCH($I32,#REF!,0)))</f>
        <v/>
      </c>
      <c r="L32" s="14" t="str">
        <f>IF($I32="","",INDEX(AssetDirectory[DecimalsDisplayExhibit],MATCH($I32,#REF!,0)))</f>
        <v/>
      </c>
      <c r="M32" s="7" t="str">
        <f t="shared" si="0"/>
        <v/>
      </c>
      <c r="N32" s="18"/>
      <c r="O32" s="15" t="str">
        <f t="shared" si="1"/>
        <v/>
      </c>
    </row>
    <row r="33" spans="1:15" ht="18" customHeight="1" x14ac:dyDescent="0.25">
      <c r="A33" s="7"/>
      <c r="B33" s="7"/>
      <c r="C33" s="16"/>
      <c r="D33" s="7"/>
      <c r="E33" s="12"/>
      <c r="F33" s="13"/>
      <c r="G33" s="13"/>
      <c r="H33" s="13"/>
      <c r="I33" s="13"/>
      <c r="J33" s="17"/>
      <c r="K33" s="14" t="str">
        <f>IF($I33="","",INDEX(AssetDirectory[DecimalsDisplayAnalyst],MATCH($I33,#REF!,0)))</f>
        <v/>
      </c>
      <c r="L33" s="14" t="str">
        <f>IF($I33="","",INDEX(AssetDirectory[DecimalsDisplayExhibit],MATCH($I33,#REF!,0)))</f>
        <v/>
      </c>
      <c r="M33" s="7" t="str">
        <f t="shared" si="0"/>
        <v/>
      </c>
      <c r="N33" s="18"/>
      <c r="O33" s="15" t="str">
        <f t="shared" si="1"/>
        <v/>
      </c>
    </row>
    <row r="34" spans="1:15" ht="18" customHeight="1" x14ac:dyDescent="0.25">
      <c r="A34" s="7"/>
      <c r="B34" s="7"/>
      <c r="C34" s="16"/>
      <c r="D34" s="7"/>
      <c r="E34" s="12"/>
      <c r="F34" s="13"/>
      <c r="G34" s="13"/>
      <c r="H34" s="13"/>
      <c r="I34" s="13"/>
      <c r="J34" s="17"/>
      <c r="K34" s="14" t="str">
        <f>IF($I34="","",INDEX(AssetDirectory[DecimalsDisplayAnalyst],MATCH($I34,#REF!,0)))</f>
        <v/>
      </c>
      <c r="L34" s="14" t="str">
        <f>IF($I34="","",INDEX(AssetDirectory[DecimalsDisplayExhibit],MATCH($I34,#REF!,0)))</f>
        <v/>
      </c>
      <c r="M34" s="7" t="str">
        <f t="shared" si="0"/>
        <v/>
      </c>
      <c r="N34" s="18"/>
      <c r="O34" s="15" t="str">
        <f t="shared" si="1"/>
        <v/>
      </c>
    </row>
    <row r="35" spans="1:15" ht="18" customHeight="1" x14ac:dyDescent="0.25">
      <c r="A35" s="7"/>
      <c r="B35" s="7"/>
      <c r="C35" s="16"/>
      <c r="D35" s="7"/>
      <c r="E35" s="12"/>
      <c r="F35" s="13"/>
      <c r="G35" s="13"/>
      <c r="H35" s="13"/>
      <c r="I35" s="13"/>
      <c r="J35" s="17"/>
      <c r="K35" s="14" t="str">
        <f>IF($I35="","",INDEX(AssetDirectory[DecimalsDisplayAnalyst],MATCH($I35,#REF!,0)))</f>
        <v/>
      </c>
      <c r="L35" s="14" t="str">
        <f>IF($I35="","",INDEX(AssetDirectory[DecimalsDisplayExhibit],MATCH($I35,#REF!,0)))</f>
        <v/>
      </c>
      <c r="M35" s="7" t="str">
        <f t="shared" si="0"/>
        <v/>
      </c>
      <c r="N35" s="18"/>
      <c r="O35" s="15" t="str">
        <f t="shared" si="1"/>
        <v/>
      </c>
    </row>
    <row r="36" spans="1:15" ht="18" customHeight="1" x14ac:dyDescent="0.25">
      <c r="A36" s="7"/>
      <c r="B36" s="7"/>
      <c r="C36" s="16"/>
      <c r="D36" s="7"/>
      <c r="E36" s="12"/>
      <c r="F36" s="13"/>
      <c r="G36" s="13"/>
      <c r="H36" s="13"/>
      <c r="I36" s="13"/>
      <c r="J36" s="17"/>
      <c r="K36" s="14" t="str">
        <f>IF($I36="","",INDEX(AssetDirectory[DecimalsDisplayAnalyst],MATCH($I36,#REF!,0)))</f>
        <v/>
      </c>
      <c r="L36" s="14" t="str">
        <f>IF($I36="","",INDEX(AssetDirectory[DecimalsDisplayExhibit],MATCH($I36,#REF!,0)))</f>
        <v/>
      </c>
      <c r="M36" s="7" t="str">
        <f t="shared" si="0"/>
        <v/>
      </c>
      <c r="N36" s="18"/>
      <c r="O36" s="15" t="str">
        <f t="shared" si="1"/>
        <v/>
      </c>
    </row>
    <row r="37" spans="1:15" ht="18" customHeight="1" x14ac:dyDescent="0.25">
      <c r="A37" s="7"/>
      <c r="B37" s="7"/>
      <c r="C37" s="16"/>
      <c r="D37" s="7"/>
      <c r="E37" s="12"/>
      <c r="F37" s="13"/>
      <c r="G37" s="13"/>
      <c r="H37" s="13"/>
      <c r="I37" s="13"/>
      <c r="J37" s="17"/>
      <c r="K37" s="14" t="str">
        <f>IF($I37="","",INDEX(AssetDirectory[DecimalsDisplayAnalyst],MATCH($I37,#REF!,0)))</f>
        <v/>
      </c>
      <c r="L37" s="14" t="str">
        <f>IF($I37="","",INDEX(AssetDirectory[DecimalsDisplayExhibit],MATCH($I37,#REF!,0)))</f>
        <v/>
      </c>
      <c r="M37" s="7" t="str">
        <f t="shared" si="0"/>
        <v/>
      </c>
      <c r="N37" s="18"/>
      <c r="O37" s="15" t="str">
        <f t="shared" si="1"/>
        <v/>
      </c>
    </row>
    <row r="38" spans="1:15" ht="18" customHeight="1" x14ac:dyDescent="0.25">
      <c r="A38" s="7"/>
      <c r="B38" s="7"/>
      <c r="C38" s="16"/>
      <c r="D38" s="7"/>
      <c r="E38" s="12"/>
      <c r="F38" s="13"/>
      <c r="G38" s="13"/>
      <c r="H38" s="13"/>
      <c r="I38" s="13"/>
      <c r="J38" s="17"/>
      <c r="K38" s="14" t="str">
        <f>IF($I38="","",INDEX(AssetDirectory[DecimalsDisplayAnalyst],MATCH($I38,#REF!,0)))</f>
        <v/>
      </c>
      <c r="L38" s="14" t="str">
        <f>IF($I38="","",INDEX(AssetDirectory[DecimalsDisplayExhibit],MATCH($I38,#REF!,0)))</f>
        <v/>
      </c>
      <c r="M38" s="7" t="str">
        <f t="shared" si="0"/>
        <v/>
      </c>
      <c r="N38" s="18"/>
      <c r="O38" s="15" t="str">
        <f t="shared" si="1"/>
        <v/>
      </c>
    </row>
    <row r="39" spans="1:15" ht="18" customHeight="1" x14ac:dyDescent="0.25">
      <c r="A39" s="7"/>
      <c r="B39" s="7"/>
      <c r="C39" s="16"/>
      <c r="D39" s="7"/>
      <c r="E39" s="12"/>
      <c r="F39" s="13"/>
      <c r="G39" s="13"/>
      <c r="H39" s="13"/>
      <c r="I39" s="13"/>
      <c r="J39" s="17"/>
      <c r="K39" s="14" t="str">
        <f>IF($I39="","",INDEX(AssetDirectory[DecimalsDisplayAnalyst],MATCH($I39,#REF!,0)))</f>
        <v/>
      </c>
      <c r="L39" s="14" t="str">
        <f>IF($I39="","",INDEX(AssetDirectory[DecimalsDisplayExhibit],MATCH($I39,#REF!,0)))</f>
        <v/>
      </c>
      <c r="M39" s="7" t="str">
        <f t="shared" si="0"/>
        <v/>
      </c>
      <c r="N39" s="18"/>
      <c r="O39" s="15" t="str">
        <f t="shared" si="1"/>
        <v/>
      </c>
    </row>
    <row r="40" spans="1:15" ht="18" customHeight="1" x14ac:dyDescent="0.25">
      <c r="A40" s="7"/>
      <c r="B40" s="7"/>
      <c r="C40" s="16"/>
      <c r="D40" s="7"/>
      <c r="E40" s="12"/>
      <c r="F40" s="13"/>
      <c r="G40" s="13"/>
      <c r="H40" s="13"/>
      <c r="I40" s="13"/>
      <c r="J40" s="17"/>
      <c r="K40" s="14" t="str">
        <f>IF($I40="","",INDEX(AssetDirectory[DecimalsDisplayAnalyst],MATCH($I40,#REF!,0)))</f>
        <v/>
      </c>
      <c r="L40" s="14" t="str">
        <f>IF($I40="","",INDEX(AssetDirectory[DecimalsDisplayExhibit],MATCH($I40,#REF!,0)))</f>
        <v/>
      </c>
      <c r="M40" s="7" t="str">
        <f t="shared" ref="M40:M57" si="2">IF(OR($J40="",ViewMode=""),"",TEXT($J40,"#,##0."&amp;REPT("0",IF(ViewMode="Exhibit",$L40,$K40))))</f>
        <v/>
      </c>
      <c r="N40" s="18"/>
      <c r="O40" s="15" t="str">
        <f t="shared" ref="O40:O57" si="3">IF(OR($J40="",$N40=""),"",ROUND($J40*$N40,2))</f>
        <v/>
      </c>
    </row>
    <row r="41" spans="1:15" ht="18" customHeight="1" x14ac:dyDescent="0.25">
      <c r="A41" s="7"/>
      <c r="B41" s="7"/>
      <c r="C41" s="16"/>
      <c r="D41" s="7"/>
      <c r="E41" s="12"/>
      <c r="F41" s="13"/>
      <c r="G41" s="13"/>
      <c r="H41" s="13"/>
      <c r="I41" s="13"/>
      <c r="J41" s="17"/>
      <c r="K41" s="14" t="str">
        <f>IF($I41="","",INDEX(AssetDirectory[DecimalsDisplayAnalyst],MATCH($I41,#REF!,0)))</f>
        <v/>
      </c>
      <c r="L41" s="14" t="str">
        <f>IF($I41="","",INDEX(AssetDirectory[DecimalsDisplayExhibit],MATCH($I41,#REF!,0)))</f>
        <v/>
      </c>
      <c r="M41" s="7" t="str">
        <f t="shared" si="2"/>
        <v/>
      </c>
      <c r="N41" s="18"/>
      <c r="O41" s="15" t="str">
        <f t="shared" si="3"/>
        <v/>
      </c>
    </row>
    <row r="42" spans="1:15" ht="18" customHeight="1" x14ac:dyDescent="0.25">
      <c r="A42" s="7"/>
      <c r="B42" s="7"/>
      <c r="C42" s="16"/>
      <c r="D42" s="7"/>
      <c r="E42" s="12"/>
      <c r="F42" s="13"/>
      <c r="G42" s="13"/>
      <c r="H42" s="13"/>
      <c r="I42" s="13"/>
      <c r="J42" s="17"/>
      <c r="K42" s="14" t="str">
        <f>IF($I42="","",INDEX(AssetDirectory[DecimalsDisplayAnalyst],MATCH($I42,#REF!,0)))</f>
        <v/>
      </c>
      <c r="L42" s="14" t="str">
        <f>IF($I42="","",INDEX(AssetDirectory[DecimalsDisplayExhibit],MATCH($I42,#REF!,0)))</f>
        <v/>
      </c>
      <c r="M42" s="7" t="str">
        <f t="shared" si="2"/>
        <v/>
      </c>
      <c r="N42" s="18"/>
      <c r="O42" s="15" t="str">
        <f t="shared" si="3"/>
        <v/>
      </c>
    </row>
    <row r="43" spans="1:15" ht="18" customHeight="1" x14ac:dyDescent="0.25">
      <c r="A43" s="7"/>
      <c r="B43" s="7"/>
      <c r="C43" s="16"/>
      <c r="D43" s="7"/>
      <c r="E43" s="12"/>
      <c r="F43" s="13"/>
      <c r="G43" s="13"/>
      <c r="H43" s="13"/>
      <c r="I43" s="13"/>
      <c r="J43" s="17"/>
      <c r="K43" s="14" t="str">
        <f>IF($I43="","",INDEX(AssetDirectory[DecimalsDisplayAnalyst],MATCH($I43,#REF!,0)))</f>
        <v/>
      </c>
      <c r="L43" s="14" t="str">
        <f>IF($I43="","",INDEX(AssetDirectory[DecimalsDisplayExhibit],MATCH($I43,#REF!,0)))</f>
        <v/>
      </c>
      <c r="M43" s="7" t="str">
        <f t="shared" si="2"/>
        <v/>
      </c>
      <c r="N43" s="18"/>
      <c r="O43" s="15" t="str">
        <f t="shared" si="3"/>
        <v/>
      </c>
    </row>
    <row r="44" spans="1:15" ht="18" customHeight="1" x14ac:dyDescent="0.25">
      <c r="A44" s="7"/>
      <c r="B44" s="7"/>
      <c r="C44" s="16"/>
      <c r="D44" s="7"/>
      <c r="E44" s="12"/>
      <c r="F44" s="13"/>
      <c r="G44" s="13"/>
      <c r="H44" s="13"/>
      <c r="I44" s="13"/>
      <c r="J44" s="17"/>
      <c r="K44" s="14" t="str">
        <f>IF($I44="","",INDEX(AssetDirectory[DecimalsDisplayAnalyst],MATCH($I44,#REF!,0)))</f>
        <v/>
      </c>
      <c r="L44" s="14" t="str">
        <f>IF($I44="","",INDEX(AssetDirectory[DecimalsDisplayExhibit],MATCH($I44,#REF!,0)))</f>
        <v/>
      </c>
      <c r="M44" s="7" t="str">
        <f t="shared" si="2"/>
        <v/>
      </c>
      <c r="N44" s="18"/>
      <c r="O44" s="15" t="str">
        <f t="shared" si="3"/>
        <v/>
      </c>
    </row>
    <row r="45" spans="1:15" ht="18" customHeight="1" x14ac:dyDescent="0.25">
      <c r="A45" s="7"/>
      <c r="B45" s="7"/>
      <c r="C45" s="16"/>
      <c r="D45" s="7"/>
      <c r="E45" s="12"/>
      <c r="F45" s="13"/>
      <c r="G45" s="13"/>
      <c r="H45" s="13"/>
      <c r="I45" s="13"/>
      <c r="J45" s="17"/>
      <c r="K45" s="14" t="str">
        <f>IF($I45="","",INDEX(AssetDirectory[DecimalsDisplayAnalyst],MATCH($I45,#REF!,0)))</f>
        <v/>
      </c>
      <c r="L45" s="14" t="str">
        <f>IF($I45="","",INDEX(AssetDirectory[DecimalsDisplayExhibit],MATCH($I45,#REF!,0)))</f>
        <v/>
      </c>
      <c r="M45" s="7" t="str">
        <f t="shared" si="2"/>
        <v/>
      </c>
      <c r="N45" s="18"/>
      <c r="O45" s="15" t="str">
        <f t="shared" si="3"/>
        <v/>
      </c>
    </row>
    <row r="46" spans="1:15" ht="18" customHeight="1" x14ac:dyDescent="0.25">
      <c r="A46" s="7"/>
      <c r="B46" s="7"/>
      <c r="C46" s="16"/>
      <c r="D46" s="7"/>
      <c r="E46" s="12"/>
      <c r="F46" s="13"/>
      <c r="G46" s="13"/>
      <c r="H46" s="13"/>
      <c r="I46" s="13"/>
      <c r="J46" s="17"/>
      <c r="K46" s="14" t="str">
        <f>IF($I46="","",INDEX(AssetDirectory[DecimalsDisplayAnalyst],MATCH($I46,#REF!,0)))</f>
        <v/>
      </c>
      <c r="L46" s="14" t="str">
        <f>IF($I46="","",INDEX(AssetDirectory[DecimalsDisplayExhibit],MATCH($I46,#REF!,0)))</f>
        <v/>
      </c>
      <c r="M46" s="7" t="str">
        <f t="shared" si="2"/>
        <v/>
      </c>
      <c r="N46" s="18"/>
      <c r="O46" s="15" t="str">
        <f t="shared" si="3"/>
        <v/>
      </c>
    </row>
    <row r="47" spans="1:15" ht="18" customHeight="1" x14ac:dyDescent="0.25">
      <c r="A47" s="7"/>
      <c r="B47" s="7"/>
      <c r="C47" s="16"/>
      <c r="D47" s="7"/>
      <c r="E47" s="12"/>
      <c r="F47" s="13"/>
      <c r="G47" s="13"/>
      <c r="H47" s="13"/>
      <c r="I47" s="13"/>
      <c r="J47" s="17"/>
      <c r="K47" s="14" t="str">
        <f>IF($I47="","",INDEX(AssetDirectory[DecimalsDisplayAnalyst],MATCH($I47,#REF!,0)))</f>
        <v/>
      </c>
      <c r="L47" s="14" t="str">
        <f>IF($I47="","",INDEX(AssetDirectory[DecimalsDisplayExhibit],MATCH($I47,#REF!,0)))</f>
        <v/>
      </c>
      <c r="M47" s="7" t="str">
        <f t="shared" si="2"/>
        <v/>
      </c>
      <c r="N47" s="18"/>
      <c r="O47" s="15" t="str">
        <f t="shared" si="3"/>
        <v/>
      </c>
    </row>
    <row r="48" spans="1:15" ht="18" customHeight="1" x14ac:dyDescent="0.25">
      <c r="A48" s="7"/>
      <c r="B48" s="7"/>
      <c r="C48" s="16"/>
      <c r="D48" s="7"/>
      <c r="E48" s="12"/>
      <c r="F48" s="13"/>
      <c r="G48" s="13"/>
      <c r="H48" s="13"/>
      <c r="I48" s="13"/>
      <c r="J48" s="17"/>
      <c r="K48" s="14" t="str">
        <f>IF($I48="","",INDEX(AssetDirectory[DecimalsDisplayAnalyst],MATCH($I48,#REF!,0)))</f>
        <v/>
      </c>
      <c r="L48" s="14" t="str">
        <f>IF($I48="","",INDEX(AssetDirectory[DecimalsDisplayExhibit],MATCH($I48,#REF!,0)))</f>
        <v/>
      </c>
      <c r="M48" s="7" t="str">
        <f t="shared" si="2"/>
        <v/>
      </c>
      <c r="N48" s="18"/>
      <c r="O48" s="15" t="str">
        <f t="shared" si="3"/>
        <v/>
      </c>
    </row>
    <row r="49" spans="1:15" ht="18" customHeight="1" x14ac:dyDescent="0.25">
      <c r="A49" s="7"/>
      <c r="B49" s="7"/>
      <c r="C49" s="16"/>
      <c r="D49" s="7"/>
      <c r="E49" s="12"/>
      <c r="F49" s="13"/>
      <c r="G49" s="13"/>
      <c r="H49" s="13"/>
      <c r="I49" s="13"/>
      <c r="J49" s="17"/>
      <c r="K49" s="14" t="str">
        <f>IF($I49="","",INDEX(AssetDirectory[DecimalsDisplayAnalyst],MATCH($I49,#REF!,0)))</f>
        <v/>
      </c>
      <c r="L49" s="14" t="str">
        <f>IF($I49="","",INDEX(AssetDirectory[DecimalsDisplayExhibit],MATCH($I49,#REF!,0)))</f>
        <v/>
      </c>
      <c r="M49" s="7" t="str">
        <f t="shared" si="2"/>
        <v/>
      </c>
      <c r="N49" s="18"/>
      <c r="O49" s="15" t="str">
        <f t="shared" si="3"/>
        <v/>
      </c>
    </row>
    <row r="50" spans="1:15" ht="18" customHeight="1" x14ac:dyDescent="0.25">
      <c r="A50" s="7"/>
      <c r="B50" s="7"/>
      <c r="C50" s="16"/>
      <c r="D50" s="7"/>
      <c r="E50" s="12"/>
      <c r="F50" s="13"/>
      <c r="G50" s="13"/>
      <c r="H50" s="13"/>
      <c r="I50" s="13"/>
      <c r="J50" s="17"/>
      <c r="K50" s="14" t="str">
        <f>IF($I50="","",INDEX(AssetDirectory[DecimalsDisplayAnalyst],MATCH($I50,#REF!,0)))</f>
        <v/>
      </c>
      <c r="L50" s="14" t="str">
        <f>IF($I50="","",INDEX(AssetDirectory[DecimalsDisplayExhibit],MATCH($I50,#REF!,0)))</f>
        <v/>
      </c>
      <c r="M50" s="7" t="str">
        <f t="shared" si="2"/>
        <v/>
      </c>
      <c r="N50" s="18"/>
      <c r="O50" s="15" t="str">
        <f t="shared" si="3"/>
        <v/>
      </c>
    </row>
    <row r="51" spans="1:15" ht="18" customHeight="1" x14ac:dyDescent="0.25">
      <c r="A51" s="7"/>
      <c r="B51" s="7"/>
      <c r="C51" s="16"/>
      <c r="D51" s="7"/>
      <c r="E51" s="12"/>
      <c r="F51" s="13"/>
      <c r="G51" s="13"/>
      <c r="H51" s="13"/>
      <c r="I51" s="13"/>
      <c r="J51" s="17"/>
      <c r="K51" s="14" t="str">
        <f>IF($I51="","",INDEX(AssetDirectory[DecimalsDisplayAnalyst],MATCH($I51,#REF!,0)))</f>
        <v/>
      </c>
      <c r="L51" s="14" t="str">
        <f>IF($I51="","",INDEX(AssetDirectory[DecimalsDisplayExhibit],MATCH($I51,#REF!,0)))</f>
        <v/>
      </c>
      <c r="M51" s="7" t="str">
        <f t="shared" si="2"/>
        <v/>
      </c>
      <c r="N51" s="18"/>
      <c r="O51" s="15" t="str">
        <f t="shared" si="3"/>
        <v/>
      </c>
    </row>
    <row r="52" spans="1:15" ht="18" customHeight="1" x14ac:dyDescent="0.25">
      <c r="A52" s="7"/>
      <c r="B52" s="7"/>
      <c r="C52" s="16"/>
      <c r="D52" s="7"/>
      <c r="E52" s="12"/>
      <c r="F52" s="13"/>
      <c r="G52" s="13"/>
      <c r="H52" s="13"/>
      <c r="I52" s="13"/>
      <c r="J52" s="17"/>
      <c r="K52" s="14" t="str">
        <f>IF($I52="","",INDEX(AssetDirectory[DecimalsDisplayAnalyst],MATCH($I52,#REF!,0)))</f>
        <v/>
      </c>
      <c r="L52" s="14" t="str">
        <f>IF($I52="","",INDEX(AssetDirectory[DecimalsDisplayExhibit],MATCH($I52,#REF!,0)))</f>
        <v/>
      </c>
      <c r="M52" s="7" t="str">
        <f t="shared" si="2"/>
        <v/>
      </c>
      <c r="N52" s="18"/>
      <c r="O52" s="15" t="str">
        <f t="shared" si="3"/>
        <v/>
      </c>
    </row>
    <row r="53" spans="1:15" ht="18" customHeight="1" x14ac:dyDescent="0.25">
      <c r="A53" s="7"/>
      <c r="B53" s="7"/>
      <c r="C53" s="16"/>
      <c r="D53" s="7"/>
      <c r="E53" s="12"/>
      <c r="F53" s="13"/>
      <c r="G53" s="13"/>
      <c r="H53" s="13"/>
      <c r="I53" s="13"/>
      <c r="J53" s="17"/>
      <c r="K53" s="14" t="str">
        <f>IF($I53="","",INDEX(AssetDirectory[DecimalsDisplayAnalyst],MATCH($I53,#REF!,0)))</f>
        <v/>
      </c>
      <c r="L53" s="14" t="str">
        <f>IF($I53="","",INDEX(AssetDirectory[DecimalsDisplayExhibit],MATCH($I53,#REF!,0)))</f>
        <v/>
      </c>
      <c r="M53" s="7" t="str">
        <f t="shared" si="2"/>
        <v/>
      </c>
      <c r="N53" s="18"/>
      <c r="O53" s="15" t="str">
        <f t="shared" si="3"/>
        <v/>
      </c>
    </row>
    <row r="54" spans="1:15" ht="18" customHeight="1" x14ac:dyDescent="0.25">
      <c r="A54" s="7"/>
      <c r="B54" s="7"/>
      <c r="C54" s="16"/>
      <c r="D54" s="7"/>
      <c r="E54" s="12"/>
      <c r="F54" s="13"/>
      <c r="G54" s="13"/>
      <c r="H54" s="13"/>
      <c r="I54" s="13"/>
      <c r="J54" s="17"/>
      <c r="K54" s="14" t="str">
        <f>IF($I54="","",INDEX(AssetDirectory[DecimalsDisplayAnalyst],MATCH($I54,#REF!,0)))</f>
        <v/>
      </c>
      <c r="L54" s="14" t="str">
        <f>IF($I54="","",INDEX(AssetDirectory[DecimalsDisplayExhibit],MATCH($I54,#REF!,0)))</f>
        <v/>
      </c>
      <c r="M54" s="7" t="str">
        <f t="shared" si="2"/>
        <v/>
      </c>
      <c r="N54" s="18"/>
      <c r="O54" s="15" t="str">
        <f t="shared" si="3"/>
        <v/>
      </c>
    </row>
    <row r="55" spans="1:15" ht="18" customHeight="1" x14ac:dyDescent="0.25">
      <c r="A55" s="7"/>
      <c r="B55" s="7"/>
      <c r="C55" s="16"/>
      <c r="D55" s="7"/>
      <c r="E55" s="12"/>
      <c r="F55" s="13"/>
      <c r="G55" s="13"/>
      <c r="H55" s="13"/>
      <c r="I55" s="13"/>
      <c r="J55" s="17"/>
      <c r="K55" s="14" t="str">
        <f>IF($I55="","",INDEX(AssetDirectory[DecimalsDisplayAnalyst],MATCH($I55,#REF!,0)))</f>
        <v/>
      </c>
      <c r="L55" s="14" t="str">
        <f>IF($I55="","",INDEX(AssetDirectory[DecimalsDisplayExhibit],MATCH($I55,#REF!,0)))</f>
        <v/>
      </c>
      <c r="M55" s="7" t="str">
        <f t="shared" si="2"/>
        <v/>
      </c>
      <c r="N55" s="18"/>
      <c r="O55" s="15" t="str">
        <f t="shared" si="3"/>
        <v/>
      </c>
    </row>
    <row r="56" spans="1:15" ht="18" customHeight="1" x14ac:dyDescent="0.25">
      <c r="A56" s="7"/>
      <c r="B56" s="7"/>
      <c r="C56" s="16"/>
      <c r="D56" s="7"/>
      <c r="E56" s="12"/>
      <c r="F56" s="13"/>
      <c r="G56" s="13"/>
      <c r="H56" s="13"/>
      <c r="I56" s="13"/>
      <c r="J56" s="17"/>
      <c r="K56" s="14" t="str">
        <f>IF($I56="","",INDEX(AssetDirectory[DecimalsDisplayAnalyst],MATCH($I56,#REF!,0)))</f>
        <v/>
      </c>
      <c r="L56" s="14" t="str">
        <f>IF($I56="","",INDEX(AssetDirectory[DecimalsDisplayExhibit],MATCH($I56,#REF!,0)))</f>
        <v/>
      </c>
      <c r="M56" s="7" t="str">
        <f t="shared" si="2"/>
        <v/>
      </c>
      <c r="N56" s="18"/>
      <c r="O56" s="15" t="str">
        <f t="shared" si="3"/>
        <v/>
      </c>
    </row>
    <row r="57" spans="1:15" ht="18" customHeight="1" x14ac:dyDescent="0.25">
      <c r="A57" s="7"/>
      <c r="B57" s="7"/>
      <c r="C57" s="16"/>
      <c r="D57" s="7"/>
      <c r="E57" s="12"/>
      <c r="F57" s="13"/>
      <c r="G57" s="13"/>
      <c r="H57" s="13"/>
      <c r="I57" s="13"/>
      <c r="J57" s="17"/>
      <c r="K57" s="14" t="str">
        <f>IF($I57="","",INDEX(AssetDirectory[DecimalsDisplayAnalyst],MATCH($I57,#REF!,0)))</f>
        <v/>
      </c>
      <c r="L57" s="14" t="str">
        <f>IF($I57="","",INDEX(AssetDirectory[DecimalsDisplayExhibit],MATCH($I57,#REF!,0)))</f>
        <v/>
      </c>
      <c r="M57" s="7" t="str">
        <f t="shared" si="2"/>
        <v/>
      </c>
      <c r="N57" s="18"/>
      <c r="O57" s="15" t="str">
        <f t="shared" si="3"/>
        <v/>
      </c>
    </row>
  </sheetData>
  <mergeCells count="1">
    <mergeCell ref="A1:O1"/>
  </mergeCells>
  <hyperlinks>
    <hyperlink ref="N2" location="Index!A1" display="Back to Index" xr:uid="{00000000-0004-0000-06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600-000000000000}">
          <x14:formula1>
            <xm:f>AssetDirectory!$A$7:$A$1000</xm:f>
          </x14:formula1>
          <xm:sqref>I8 I9 I10 I11 I12 I13 I14 I15 I16 I17 I18 I19 I20 I21 I22 I23 I24 I25 I26 I27 I28 I29 I30 I31 I32 I33 I34 I35 I36 I37 I38 I39 I40 I41 I42 I43 I44 I45 I46 I47 I48 I49 I50 I51 I52 I53 I54 I55 I56 I57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7"/>
  <sheetViews>
    <sheetView showGridLines="0" tabSelected="1" workbookViewId="0">
      <pane ySplit="7" topLeftCell="A8" activePane="bottomLeft" state="frozen"/>
      <selection pane="bottomLeft" activeCell="G3" sqref="G3"/>
    </sheetView>
  </sheetViews>
  <sheetFormatPr defaultRowHeight="15" x14ac:dyDescent="0.25"/>
  <cols>
    <col min="1" max="1" width="8" customWidth="1"/>
    <col min="2" max="2" width="18" customWidth="1"/>
    <col min="3" max="3" width="10" customWidth="1"/>
    <col min="4" max="6" width="18" customWidth="1"/>
    <col min="7" max="7" width="26" customWidth="1"/>
    <col min="8" max="8" width="22" customWidth="1"/>
    <col min="9" max="9" width="16" customWidth="1"/>
    <col min="10" max="10" width="40" customWidth="1"/>
    <col min="11" max="11" width="32" customWidth="1"/>
  </cols>
  <sheetData>
    <row r="1" spans="1:11" ht="30" customHeight="1" x14ac:dyDescent="0.25">
      <c r="A1" s="19" t="s">
        <v>107</v>
      </c>
      <c r="B1" s="20"/>
      <c r="C1" s="20"/>
      <c r="D1" s="20"/>
      <c r="E1" s="20"/>
      <c r="F1" s="20"/>
      <c r="G1" s="20"/>
      <c r="H1" s="20"/>
      <c r="I1" s="20"/>
      <c r="J1" s="20"/>
      <c r="K1" s="20"/>
    </row>
    <row r="2" spans="1:11" ht="20.100000000000001" customHeight="1" x14ac:dyDescent="0.25">
      <c r="A2" s="1" t="s">
        <v>108</v>
      </c>
      <c r="J2" s="4" t="s">
        <v>26</v>
      </c>
    </row>
    <row r="3" spans="1:11" ht="20.100000000000001" customHeight="1" x14ac:dyDescent="0.25"/>
    <row r="4" spans="1:11" ht="20.100000000000001" customHeight="1" x14ac:dyDescent="0.25"/>
    <row r="5" spans="1:11" ht="20.100000000000001" customHeight="1" x14ac:dyDescent="0.25"/>
    <row r="7" spans="1:11" ht="26.1" customHeight="1" x14ac:dyDescent="0.25">
      <c r="A7" s="6" t="s">
        <v>93</v>
      </c>
      <c r="B7" s="6" t="s">
        <v>95</v>
      </c>
      <c r="C7" s="6" t="s">
        <v>47</v>
      </c>
      <c r="D7" s="6" t="s">
        <v>109</v>
      </c>
      <c r="E7" s="6" t="s">
        <v>110</v>
      </c>
      <c r="F7" s="6" t="s">
        <v>111</v>
      </c>
      <c r="G7" s="6" t="s">
        <v>100</v>
      </c>
      <c r="H7" s="6" t="s">
        <v>104</v>
      </c>
      <c r="I7" s="6" t="s">
        <v>106</v>
      </c>
      <c r="J7" s="6" t="s">
        <v>112</v>
      </c>
      <c r="K7" s="6" t="s">
        <v>113</v>
      </c>
    </row>
    <row r="8" spans="1:11" ht="21.95" customHeight="1" x14ac:dyDescent="0.25">
      <c r="A8" s="7">
        <f>Trace_Working!A8</f>
        <v>0</v>
      </c>
      <c r="B8" s="16">
        <f>Trace_Working!C8</f>
        <v>0</v>
      </c>
      <c r="C8" s="7">
        <f>Trace_Working!D8</f>
        <v>0</v>
      </c>
      <c r="D8" s="13" t="str">
        <f>IF(Trace_Working!F8="","",LEFT(Trace_Working!F8,10)&amp;"…" &amp;RIGHT(Trace_Working!F8,8))</f>
        <v/>
      </c>
      <c r="E8" s="13" t="str">
        <f>IF(Trace_Working!G8="","",LEFT(Trace_Working!G8,10)&amp;"…" &amp;RIGHT(Trace_Working!G8,8))</f>
        <v/>
      </c>
      <c r="F8" s="13" t="str">
        <f>IF(Trace_Working!H8="","",LEFT(Trace_Working!H8,10)&amp;"…" &amp;RIGHT(Trace_Working!H8,8))</f>
        <v/>
      </c>
      <c r="G8" s="13">
        <f>Trace_Working!I8</f>
        <v>0</v>
      </c>
      <c r="H8" s="7" t="str">
        <f>Trace_Working!M8</f>
        <v/>
      </c>
      <c r="I8" s="15" t="str">
        <f>Trace_Working!O8</f>
        <v/>
      </c>
      <c r="J8" s="7"/>
      <c r="K8" s="13" t="str">
        <f>IF(Trace_Working!F8="","",IF(Trace_Working!D8="ETH","https://etherscan.io/tx/"&amp;Trace_Working!F8,IF(Trace_Working!D8="BSC","https://bscscan.com/tx/"&amp;Trace_Working!F8,IF(Trace_Working!D8="BTC","https://mempool.space/tx/"&amp;Trace_Working!F8,IF(Trace_Working!D8="TRX","https://tronscan.org/#/transaction/"&amp;Trace_Working!F8,IF(Trace_Working!D8="SOL","https://solscan.io/tx/"&amp;Trace_Working!F8,""))))))</f>
        <v/>
      </c>
    </row>
    <row r="9" spans="1:11" ht="21.95" customHeight="1" x14ac:dyDescent="0.25">
      <c r="A9" s="7">
        <f>Trace_Working!A9</f>
        <v>0</v>
      </c>
      <c r="B9" s="16">
        <f>Trace_Working!C9</f>
        <v>0</v>
      </c>
      <c r="C9" s="7">
        <f>Trace_Working!D9</f>
        <v>0</v>
      </c>
      <c r="D9" s="13" t="str">
        <f>IF(Trace_Working!F9="","",LEFT(Trace_Working!F9,10)&amp;"…" &amp;RIGHT(Trace_Working!F9,8))</f>
        <v/>
      </c>
      <c r="E9" s="13" t="str">
        <f>IF(Trace_Working!G9="","",LEFT(Trace_Working!G9,10)&amp;"…" &amp;RIGHT(Trace_Working!G9,8))</f>
        <v/>
      </c>
      <c r="F9" s="13" t="str">
        <f>IF(Trace_Working!H9="","",LEFT(Trace_Working!H9,10)&amp;"…" &amp;RIGHT(Trace_Working!H9,8))</f>
        <v/>
      </c>
      <c r="G9" s="13">
        <f>Trace_Working!I9</f>
        <v>0</v>
      </c>
      <c r="H9" s="7" t="str">
        <f>Trace_Working!M9</f>
        <v/>
      </c>
      <c r="I9" s="15" t="str">
        <f>Trace_Working!O9</f>
        <v/>
      </c>
      <c r="J9" s="7"/>
      <c r="K9" s="13" t="str">
        <f>IF(Trace_Working!F9="","",IF(Trace_Working!D9="ETH","https://etherscan.io/tx/"&amp;Trace_Working!F9,IF(Trace_Working!D9="BSC","https://bscscan.com/tx/"&amp;Trace_Working!F9,IF(Trace_Working!D9="BTC","https://mempool.space/tx/"&amp;Trace_Working!F9,IF(Trace_Working!D9="TRX","https://tronscan.org/#/transaction/"&amp;Trace_Working!F9,IF(Trace_Working!D9="SOL","https://solscan.io/tx/"&amp;Trace_Working!F9,""))))))</f>
        <v/>
      </c>
    </row>
    <row r="10" spans="1:11" ht="21.95" customHeight="1" x14ac:dyDescent="0.25">
      <c r="A10" s="7">
        <f>Trace_Working!A10</f>
        <v>0</v>
      </c>
      <c r="B10" s="16">
        <f>Trace_Working!C10</f>
        <v>0</v>
      </c>
      <c r="C10" s="7">
        <f>Trace_Working!D10</f>
        <v>0</v>
      </c>
      <c r="D10" s="13" t="str">
        <f>IF(Trace_Working!F10="","",LEFT(Trace_Working!F10,10)&amp;"…" &amp;RIGHT(Trace_Working!F10,8))</f>
        <v/>
      </c>
      <c r="E10" s="13" t="str">
        <f>IF(Trace_Working!G10="","",LEFT(Trace_Working!G10,10)&amp;"…" &amp;RIGHT(Trace_Working!G10,8))</f>
        <v/>
      </c>
      <c r="F10" s="13" t="str">
        <f>IF(Trace_Working!H10="","",LEFT(Trace_Working!H10,10)&amp;"…" &amp;RIGHT(Trace_Working!H10,8))</f>
        <v/>
      </c>
      <c r="G10" s="13">
        <f>Trace_Working!I10</f>
        <v>0</v>
      </c>
      <c r="H10" s="7" t="str">
        <f>Trace_Working!M10</f>
        <v/>
      </c>
      <c r="I10" s="15" t="str">
        <f>Trace_Working!O10</f>
        <v/>
      </c>
      <c r="J10" s="7"/>
      <c r="K10" s="13" t="str">
        <f>IF(Trace_Working!F10="","",IF(Trace_Working!D10="ETH","https://etherscan.io/tx/"&amp;Trace_Working!F10,IF(Trace_Working!D10="BSC","https://bscscan.com/tx/"&amp;Trace_Working!F10,IF(Trace_Working!D10="BTC","https://mempool.space/tx/"&amp;Trace_Working!F10,IF(Trace_Working!D10="TRX","https://tronscan.org/#/transaction/"&amp;Trace_Working!F10,IF(Trace_Working!D10="SOL","https://solscan.io/tx/"&amp;Trace_Working!F10,""))))))</f>
        <v/>
      </c>
    </row>
    <row r="11" spans="1:11" ht="21.95" customHeight="1" x14ac:dyDescent="0.25">
      <c r="A11" s="7">
        <f>Trace_Working!A11</f>
        <v>0</v>
      </c>
      <c r="B11" s="16">
        <f>Trace_Working!C11</f>
        <v>0</v>
      </c>
      <c r="C11" s="7">
        <f>Trace_Working!D11</f>
        <v>0</v>
      </c>
      <c r="D11" s="13" t="str">
        <f>IF(Trace_Working!F11="","",LEFT(Trace_Working!F11,10)&amp;"…" &amp;RIGHT(Trace_Working!F11,8))</f>
        <v/>
      </c>
      <c r="E11" s="13" t="str">
        <f>IF(Trace_Working!G11="","",LEFT(Trace_Working!G11,10)&amp;"…" &amp;RIGHT(Trace_Working!G11,8))</f>
        <v/>
      </c>
      <c r="F11" s="13" t="str">
        <f>IF(Trace_Working!H11="","",LEFT(Trace_Working!H11,10)&amp;"…" &amp;RIGHT(Trace_Working!H11,8))</f>
        <v/>
      </c>
      <c r="G11" s="13">
        <f>Trace_Working!I11</f>
        <v>0</v>
      </c>
      <c r="H11" s="7" t="str">
        <f>Trace_Working!M11</f>
        <v/>
      </c>
      <c r="I11" s="15" t="str">
        <f>Trace_Working!O11</f>
        <v/>
      </c>
      <c r="J11" s="7"/>
      <c r="K11" s="13" t="str">
        <f>IF(Trace_Working!F11="","",IF(Trace_Working!D11="ETH","https://etherscan.io/tx/"&amp;Trace_Working!F11,IF(Trace_Working!D11="BSC","https://bscscan.com/tx/"&amp;Trace_Working!F11,IF(Trace_Working!D11="BTC","https://mempool.space/tx/"&amp;Trace_Working!F11,IF(Trace_Working!D11="TRX","https://tronscan.org/#/transaction/"&amp;Trace_Working!F11,IF(Trace_Working!D11="SOL","https://solscan.io/tx/"&amp;Trace_Working!F11,""))))))</f>
        <v/>
      </c>
    </row>
    <row r="12" spans="1:11" ht="21.95" customHeight="1" x14ac:dyDescent="0.25">
      <c r="A12" s="7">
        <f>Trace_Working!A12</f>
        <v>0</v>
      </c>
      <c r="B12" s="16">
        <f>Trace_Working!C12</f>
        <v>0</v>
      </c>
      <c r="C12" s="7">
        <f>Trace_Working!D12</f>
        <v>0</v>
      </c>
      <c r="D12" s="13" t="str">
        <f>IF(Trace_Working!F12="","",LEFT(Trace_Working!F12,10)&amp;"…" &amp;RIGHT(Trace_Working!F12,8))</f>
        <v/>
      </c>
      <c r="E12" s="13" t="str">
        <f>IF(Trace_Working!G12="","",LEFT(Trace_Working!G12,10)&amp;"…" &amp;RIGHT(Trace_Working!G12,8))</f>
        <v/>
      </c>
      <c r="F12" s="13" t="str">
        <f>IF(Trace_Working!H12="","",LEFT(Trace_Working!H12,10)&amp;"…" &amp;RIGHT(Trace_Working!H12,8))</f>
        <v/>
      </c>
      <c r="G12" s="13">
        <f>Trace_Working!I12</f>
        <v>0</v>
      </c>
      <c r="H12" s="7" t="str">
        <f>Trace_Working!M12</f>
        <v/>
      </c>
      <c r="I12" s="15" t="str">
        <f>Trace_Working!O12</f>
        <v/>
      </c>
      <c r="J12" s="7"/>
      <c r="K12" s="13" t="str">
        <f>IF(Trace_Working!F12="","",IF(Trace_Working!D12="ETH","https://etherscan.io/tx/"&amp;Trace_Working!F12,IF(Trace_Working!D12="BSC","https://bscscan.com/tx/"&amp;Trace_Working!F12,IF(Trace_Working!D12="BTC","https://mempool.space/tx/"&amp;Trace_Working!F12,IF(Trace_Working!D12="TRX","https://tronscan.org/#/transaction/"&amp;Trace_Working!F12,IF(Trace_Working!D12="SOL","https://solscan.io/tx/"&amp;Trace_Working!F12,""))))))</f>
        <v/>
      </c>
    </row>
    <row r="13" spans="1:11" ht="21.95" customHeight="1" x14ac:dyDescent="0.25">
      <c r="A13" s="7">
        <f>Trace_Working!A13</f>
        <v>0</v>
      </c>
      <c r="B13" s="16">
        <f>Trace_Working!C13</f>
        <v>0</v>
      </c>
      <c r="C13" s="7">
        <f>Trace_Working!D13</f>
        <v>0</v>
      </c>
      <c r="D13" s="13" t="str">
        <f>IF(Trace_Working!F13="","",LEFT(Trace_Working!F13,10)&amp;"…" &amp;RIGHT(Trace_Working!F13,8))</f>
        <v/>
      </c>
      <c r="E13" s="13" t="str">
        <f>IF(Trace_Working!G13="","",LEFT(Trace_Working!G13,10)&amp;"…" &amp;RIGHT(Trace_Working!G13,8))</f>
        <v/>
      </c>
      <c r="F13" s="13" t="str">
        <f>IF(Trace_Working!H13="","",LEFT(Trace_Working!H13,10)&amp;"…" &amp;RIGHT(Trace_Working!H13,8))</f>
        <v/>
      </c>
      <c r="G13" s="13">
        <f>Trace_Working!I13</f>
        <v>0</v>
      </c>
      <c r="H13" s="7" t="str">
        <f>Trace_Working!M13</f>
        <v/>
      </c>
      <c r="I13" s="15" t="str">
        <f>Trace_Working!O13</f>
        <v/>
      </c>
      <c r="J13" s="7"/>
      <c r="K13" s="13" t="str">
        <f>IF(Trace_Working!F13="","",IF(Trace_Working!D13="ETH","https://etherscan.io/tx/"&amp;Trace_Working!F13,IF(Trace_Working!D13="BSC","https://bscscan.com/tx/"&amp;Trace_Working!F13,IF(Trace_Working!D13="BTC","https://mempool.space/tx/"&amp;Trace_Working!F13,IF(Trace_Working!D13="TRX","https://tronscan.org/#/transaction/"&amp;Trace_Working!F13,IF(Trace_Working!D13="SOL","https://solscan.io/tx/"&amp;Trace_Working!F13,""))))))</f>
        <v/>
      </c>
    </row>
    <row r="14" spans="1:11" ht="21.95" customHeight="1" x14ac:dyDescent="0.25">
      <c r="A14" s="7">
        <f>Trace_Working!A14</f>
        <v>0</v>
      </c>
      <c r="B14" s="16">
        <f>Trace_Working!C14</f>
        <v>0</v>
      </c>
      <c r="C14" s="7">
        <f>Trace_Working!D14</f>
        <v>0</v>
      </c>
      <c r="D14" s="13" t="str">
        <f>IF(Trace_Working!F14="","",LEFT(Trace_Working!F14,10)&amp;"…" &amp;RIGHT(Trace_Working!F14,8))</f>
        <v/>
      </c>
      <c r="E14" s="13" t="str">
        <f>IF(Trace_Working!G14="","",LEFT(Trace_Working!G14,10)&amp;"…" &amp;RIGHT(Trace_Working!G14,8))</f>
        <v/>
      </c>
      <c r="F14" s="13" t="str">
        <f>IF(Trace_Working!H14="","",LEFT(Trace_Working!H14,10)&amp;"…" &amp;RIGHT(Trace_Working!H14,8))</f>
        <v/>
      </c>
      <c r="G14" s="13">
        <f>Trace_Working!I14</f>
        <v>0</v>
      </c>
      <c r="H14" s="7" t="str">
        <f>Trace_Working!M14</f>
        <v/>
      </c>
      <c r="I14" s="15" t="str">
        <f>Trace_Working!O14</f>
        <v/>
      </c>
      <c r="J14" s="7"/>
      <c r="K14" s="13" t="str">
        <f>IF(Trace_Working!F14="","",IF(Trace_Working!D14="ETH","https://etherscan.io/tx/"&amp;Trace_Working!F14,IF(Trace_Working!D14="BSC","https://bscscan.com/tx/"&amp;Trace_Working!F14,IF(Trace_Working!D14="BTC","https://mempool.space/tx/"&amp;Trace_Working!F14,IF(Trace_Working!D14="TRX","https://tronscan.org/#/transaction/"&amp;Trace_Working!F14,IF(Trace_Working!D14="SOL","https://solscan.io/tx/"&amp;Trace_Working!F14,""))))))</f>
        <v/>
      </c>
    </row>
    <row r="15" spans="1:11" ht="21.95" customHeight="1" x14ac:dyDescent="0.25">
      <c r="A15" s="7">
        <f>Trace_Working!A15</f>
        <v>0</v>
      </c>
      <c r="B15" s="16">
        <f>Trace_Working!C15</f>
        <v>0</v>
      </c>
      <c r="C15" s="7">
        <f>Trace_Working!D15</f>
        <v>0</v>
      </c>
      <c r="D15" s="13" t="str">
        <f>IF(Trace_Working!F15="","",LEFT(Trace_Working!F15,10)&amp;"…" &amp;RIGHT(Trace_Working!F15,8))</f>
        <v/>
      </c>
      <c r="E15" s="13" t="str">
        <f>IF(Trace_Working!G15="","",LEFT(Trace_Working!G15,10)&amp;"…" &amp;RIGHT(Trace_Working!G15,8))</f>
        <v/>
      </c>
      <c r="F15" s="13" t="str">
        <f>IF(Trace_Working!H15="","",LEFT(Trace_Working!H15,10)&amp;"…" &amp;RIGHT(Trace_Working!H15,8))</f>
        <v/>
      </c>
      <c r="G15" s="13">
        <f>Trace_Working!I15</f>
        <v>0</v>
      </c>
      <c r="H15" s="7" t="str">
        <f>Trace_Working!M15</f>
        <v/>
      </c>
      <c r="I15" s="15" t="str">
        <f>Trace_Working!O15</f>
        <v/>
      </c>
      <c r="J15" s="7"/>
      <c r="K15" s="13" t="str">
        <f>IF(Trace_Working!F15="","",IF(Trace_Working!D15="ETH","https://etherscan.io/tx/"&amp;Trace_Working!F15,IF(Trace_Working!D15="BSC","https://bscscan.com/tx/"&amp;Trace_Working!F15,IF(Trace_Working!D15="BTC","https://mempool.space/tx/"&amp;Trace_Working!F15,IF(Trace_Working!D15="TRX","https://tronscan.org/#/transaction/"&amp;Trace_Working!F15,IF(Trace_Working!D15="SOL","https://solscan.io/tx/"&amp;Trace_Working!F15,""))))))</f>
        <v/>
      </c>
    </row>
    <row r="16" spans="1:11" ht="21.95" customHeight="1" x14ac:dyDescent="0.25">
      <c r="A16" s="7">
        <f>Trace_Working!A16</f>
        <v>0</v>
      </c>
      <c r="B16" s="16">
        <f>Trace_Working!C16</f>
        <v>0</v>
      </c>
      <c r="C16" s="7">
        <f>Trace_Working!D16</f>
        <v>0</v>
      </c>
      <c r="D16" s="13" t="str">
        <f>IF(Trace_Working!F16="","",LEFT(Trace_Working!F16,10)&amp;"…" &amp;RIGHT(Trace_Working!F16,8))</f>
        <v/>
      </c>
      <c r="E16" s="13" t="str">
        <f>IF(Trace_Working!G16="","",LEFT(Trace_Working!G16,10)&amp;"…" &amp;RIGHT(Trace_Working!G16,8))</f>
        <v/>
      </c>
      <c r="F16" s="13" t="str">
        <f>IF(Trace_Working!H16="","",LEFT(Trace_Working!H16,10)&amp;"…" &amp;RIGHT(Trace_Working!H16,8))</f>
        <v/>
      </c>
      <c r="G16" s="13">
        <f>Trace_Working!I16</f>
        <v>0</v>
      </c>
      <c r="H16" s="7" t="str">
        <f>Trace_Working!M16</f>
        <v/>
      </c>
      <c r="I16" s="15" t="str">
        <f>Trace_Working!O16</f>
        <v/>
      </c>
      <c r="J16" s="7"/>
      <c r="K16" s="13" t="str">
        <f>IF(Trace_Working!F16="","",IF(Trace_Working!D16="ETH","https://etherscan.io/tx/"&amp;Trace_Working!F16,IF(Trace_Working!D16="BSC","https://bscscan.com/tx/"&amp;Trace_Working!F16,IF(Trace_Working!D16="BTC","https://mempool.space/tx/"&amp;Trace_Working!F16,IF(Trace_Working!D16="TRX","https://tronscan.org/#/transaction/"&amp;Trace_Working!F16,IF(Trace_Working!D16="SOL","https://solscan.io/tx/"&amp;Trace_Working!F16,""))))))</f>
        <v/>
      </c>
    </row>
    <row r="17" spans="1:11" ht="21.95" customHeight="1" x14ac:dyDescent="0.25">
      <c r="A17" s="7">
        <f>Trace_Working!A17</f>
        <v>0</v>
      </c>
      <c r="B17" s="16">
        <f>Trace_Working!C17</f>
        <v>0</v>
      </c>
      <c r="C17" s="7">
        <f>Trace_Working!D17</f>
        <v>0</v>
      </c>
      <c r="D17" s="13" t="str">
        <f>IF(Trace_Working!F17="","",LEFT(Trace_Working!F17,10)&amp;"…" &amp;RIGHT(Trace_Working!F17,8))</f>
        <v/>
      </c>
      <c r="E17" s="13" t="str">
        <f>IF(Trace_Working!G17="","",LEFT(Trace_Working!G17,10)&amp;"…" &amp;RIGHT(Trace_Working!G17,8))</f>
        <v/>
      </c>
      <c r="F17" s="13" t="str">
        <f>IF(Trace_Working!H17="","",LEFT(Trace_Working!H17,10)&amp;"…" &amp;RIGHT(Trace_Working!H17,8))</f>
        <v/>
      </c>
      <c r="G17" s="13">
        <f>Trace_Working!I17</f>
        <v>0</v>
      </c>
      <c r="H17" s="7" t="str">
        <f>Trace_Working!M17</f>
        <v/>
      </c>
      <c r="I17" s="15" t="str">
        <f>Trace_Working!O17</f>
        <v/>
      </c>
      <c r="J17" s="7"/>
      <c r="K17" s="13" t="str">
        <f>IF(Trace_Working!F17="","",IF(Trace_Working!D17="ETH","https://etherscan.io/tx/"&amp;Trace_Working!F17,IF(Trace_Working!D17="BSC","https://bscscan.com/tx/"&amp;Trace_Working!F17,IF(Trace_Working!D17="BTC","https://mempool.space/tx/"&amp;Trace_Working!F17,IF(Trace_Working!D17="TRX","https://tronscan.org/#/transaction/"&amp;Trace_Working!F17,IF(Trace_Working!D17="SOL","https://solscan.io/tx/"&amp;Trace_Working!F17,""))))))</f>
        <v/>
      </c>
    </row>
    <row r="18" spans="1:11" ht="21.95" customHeight="1" x14ac:dyDescent="0.25">
      <c r="A18" s="7">
        <f>Trace_Working!A18</f>
        <v>0</v>
      </c>
      <c r="B18" s="16">
        <f>Trace_Working!C18</f>
        <v>0</v>
      </c>
      <c r="C18" s="7">
        <f>Trace_Working!D18</f>
        <v>0</v>
      </c>
      <c r="D18" s="13" t="str">
        <f>IF(Trace_Working!F18="","",LEFT(Trace_Working!F18,10)&amp;"…" &amp;RIGHT(Trace_Working!F18,8))</f>
        <v/>
      </c>
      <c r="E18" s="13" t="str">
        <f>IF(Trace_Working!G18="","",LEFT(Trace_Working!G18,10)&amp;"…" &amp;RIGHT(Trace_Working!G18,8))</f>
        <v/>
      </c>
      <c r="F18" s="13" t="str">
        <f>IF(Trace_Working!H18="","",LEFT(Trace_Working!H18,10)&amp;"…" &amp;RIGHT(Trace_Working!H18,8))</f>
        <v/>
      </c>
      <c r="G18" s="13">
        <f>Trace_Working!I18</f>
        <v>0</v>
      </c>
      <c r="H18" s="7" t="str">
        <f>Trace_Working!M18</f>
        <v/>
      </c>
      <c r="I18" s="15" t="str">
        <f>Trace_Working!O18</f>
        <v/>
      </c>
      <c r="J18" s="7"/>
      <c r="K18" s="13" t="str">
        <f>IF(Trace_Working!F18="","",IF(Trace_Working!D18="ETH","https://etherscan.io/tx/"&amp;Trace_Working!F18,IF(Trace_Working!D18="BSC","https://bscscan.com/tx/"&amp;Trace_Working!F18,IF(Trace_Working!D18="BTC","https://mempool.space/tx/"&amp;Trace_Working!F18,IF(Trace_Working!D18="TRX","https://tronscan.org/#/transaction/"&amp;Trace_Working!F18,IF(Trace_Working!D18="SOL","https://solscan.io/tx/"&amp;Trace_Working!F18,""))))))</f>
        <v/>
      </c>
    </row>
    <row r="19" spans="1:11" ht="21.95" customHeight="1" x14ac:dyDescent="0.25">
      <c r="A19" s="7">
        <f>Trace_Working!A19</f>
        <v>0</v>
      </c>
      <c r="B19" s="16">
        <f>Trace_Working!C19</f>
        <v>0</v>
      </c>
      <c r="C19" s="7">
        <f>Trace_Working!D19</f>
        <v>0</v>
      </c>
      <c r="D19" s="13" t="str">
        <f>IF(Trace_Working!F19="","",LEFT(Trace_Working!F19,10)&amp;"…" &amp;RIGHT(Trace_Working!F19,8))</f>
        <v/>
      </c>
      <c r="E19" s="13" t="str">
        <f>IF(Trace_Working!G19="","",LEFT(Trace_Working!G19,10)&amp;"…" &amp;RIGHT(Trace_Working!G19,8))</f>
        <v/>
      </c>
      <c r="F19" s="13" t="str">
        <f>IF(Trace_Working!H19="","",LEFT(Trace_Working!H19,10)&amp;"…" &amp;RIGHT(Trace_Working!H19,8))</f>
        <v/>
      </c>
      <c r="G19" s="13">
        <f>Trace_Working!I19</f>
        <v>0</v>
      </c>
      <c r="H19" s="7" t="str">
        <f>Trace_Working!M19</f>
        <v/>
      </c>
      <c r="I19" s="15" t="str">
        <f>Trace_Working!O19</f>
        <v/>
      </c>
      <c r="J19" s="7"/>
      <c r="K19" s="13" t="str">
        <f>IF(Trace_Working!F19="","",IF(Trace_Working!D19="ETH","https://etherscan.io/tx/"&amp;Trace_Working!F19,IF(Trace_Working!D19="BSC","https://bscscan.com/tx/"&amp;Trace_Working!F19,IF(Trace_Working!D19="BTC","https://mempool.space/tx/"&amp;Trace_Working!F19,IF(Trace_Working!D19="TRX","https://tronscan.org/#/transaction/"&amp;Trace_Working!F19,IF(Trace_Working!D19="SOL","https://solscan.io/tx/"&amp;Trace_Working!F19,""))))))</f>
        <v/>
      </c>
    </row>
    <row r="20" spans="1:11" ht="21.95" customHeight="1" x14ac:dyDescent="0.25">
      <c r="A20" s="7">
        <f>Trace_Working!A20</f>
        <v>0</v>
      </c>
      <c r="B20" s="16">
        <f>Trace_Working!C20</f>
        <v>0</v>
      </c>
      <c r="C20" s="7">
        <f>Trace_Working!D20</f>
        <v>0</v>
      </c>
      <c r="D20" s="13" t="str">
        <f>IF(Trace_Working!F20="","",LEFT(Trace_Working!F20,10)&amp;"…" &amp;RIGHT(Trace_Working!F20,8))</f>
        <v/>
      </c>
      <c r="E20" s="13" t="str">
        <f>IF(Trace_Working!G20="","",LEFT(Trace_Working!G20,10)&amp;"…" &amp;RIGHT(Trace_Working!G20,8))</f>
        <v/>
      </c>
      <c r="F20" s="13" t="str">
        <f>IF(Trace_Working!H20="","",LEFT(Trace_Working!H20,10)&amp;"…" &amp;RIGHT(Trace_Working!H20,8))</f>
        <v/>
      </c>
      <c r="G20" s="13">
        <f>Trace_Working!I20</f>
        <v>0</v>
      </c>
      <c r="H20" s="7" t="str">
        <f>Trace_Working!M20</f>
        <v/>
      </c>
      <c r="I20" s="15" t="str">
        <f>Trace_Working!O20</f>
        <v/>
      </c>
      <c r="J20" s="7"/>
      <c r="K20" s="13" t="str">
        <f>IF(Trace_Working!F20="","",IF(Trace_Working!D20="ETH","https://etherscan.io/tx/"&amp;Trace_Working!F20,IF(Trace_Working!D20="BSC","https://bscscan.com/tx/"&amp;Trace_Working!F20,IF(Trace_Working!D20="BTC","https://mempool.space/tx/"&amp;Trace_Working!F20,IF(Trace_Working!D20="TRX","https://tronscan.org/#/transaction/"&amp;Trace_Working!F20,IF(Trace_Working!D20="SOL","https://solscan.io/tx/"&amp;Trace_Working!F20,""))))))</f>
        <v/>
      </c>
    </row>
    <row r="21" spans="1:11" ht="21.95" customHeight="1" x14ac:dyDescent="0.25">
      <c r="A21" s="7">
        <f>Trace_Working!A21</f>
        <v>0</v>
      </c>
      <c r="B21" s="16">
        <f>Trace_Working!C21</f>
        <v>0</v>
      </c>
      <c r="C21" s="7">
        <f>Trace_Working!D21</f>
        <v>0</v>
      </c>
      <c r="D21" s="13" t="str">
        <f>IF(Trace_Working!F21="","",LEFT(Trace_Working!F21,10)&amp;"…" &amp;RIGHT(Trace_Working!F21,8))</f>
        <v/>
      </c>
      <c r="E21" s="13" t="str">
        <f>IF(Trace_Working!G21="","",LEFT(Trace_Working!G21,10)&amp;"…" &amp;RIGHT(Trace_Working!G21,8))</f>
        <v/>
      </c>
      <c r="F21" s="13" t="str">
        <f>IF(Trace_Working!H21="","",LEFT(Trace_Working!H21,10)&amp;"…" &amp;RIGHT(Trace_Working!H21,8))</f>
        <v/>
      </c>
      <c r="G21" s="13">
        <f>Trace_Working!I21</f>
        <v>0</v>
      </c>
      <c r="H21" s="7" t="str">
        <f>Trace_Working!M21</f>
        <v/>
      </c>
      <c r="I21" s="15" t="str">
        <f>Trace_Working!O21</f>
        <v/>
      </c>
      <c r="J21" s="7"/>
      <c r="K21" s="13" t="str">
        <f>IF(Trace_Working!F21="","",IF(Trace_Working!D21="ETH","https://etherscan.io/tx/"&amp;Trace_Working!F21,IF(Trace_Working!D21="BSC","https://bscscan.com/tx/"&amp;Trace_Working!F21,IF(Trace_Working!D21="BTC","https://mempool.space/tx/"&amp;Trace_Working!F21,IF(Trace_Working!D21="TRX","https://tronscan.org/#/transaction/"&amp;Trace_Working!F21,IF(Trace_Working!D21="SOL","https://solscan.io/tx/"&amp;Trace_Working!F21,""))))))</f>
        <v/>
      </c>
    </row>
    <row r="22" spans="1:11" ht="21.95" customHeight="1" x14ac:dyDescent="0.25">
      <c r="A22" s="7">
        <f>Trace_Working!A22</f>
        <v>0</v>
      </c>
      <c r="B22" s="16">
        <f>Trace_Working!C22</f>
        <v>0</v>
      </c>
      <c r="C22" s="7">
        <f>Trace_Working!D22</f>
        <v>0</v>
      </c>
      <c r="D22" s="13" t="str">
        <f>IF(Trace_Working!F22="","",LEFT(Trace_Working!F22,10)&amp;"…" &amp;RIGHT(Trace_Working!F22,8))</f>
        <v/>
      </c>
      <c r="E22" s="13" t="str">
        <f>IF(Trace_Working!G22="","",LEFT(Trace_Working!G22,10)&amp;"…" &amp;RIGHT(Trace_Working!G22,8))</f>
        <v/>
      </c>
      <c r="F22" s="13" t="str">
        <f>IF(Trace_Working!H22="","",LEFT(Trace_Working!H22,10)&amp;"…" &amp;RIGHT(Trace_Working!H22,8))</f>
        <v/>
      </c>
      <c r="G22" s="13">
        <f>Trace_Working!I22</f>
        <v>0</v>
      </c>
      <c r="H22" s="7" t="str">
        <f>Trace_Working!M22</f>
        <v/>
      </c>
      <c r="I22" s="15" t="str">
        <f>Trace_Working!O22</f>
        <v/>
      </c>
      <c r="J22" s="7"/>
      <c r="K22" s="13" t="str">
        <f>IF(Trace_Working!F22="","",IF(Trace_Working!D22="ETH","https://etherscan.io/tx/"&amp;Trace_Working!F22,IF(Trace_Working!D22="BSC","https://bscscan.com/tx/"&amp;Trace_Working!F22,IF(Trace_Working!D22="BTC","https://mempool.space/tx/"&amp;Trace_Working!F22,IF(Trace_Working!D22="TRX","https://tronscan.org/#/transaction/"&amp;Trace_Working!F22,IF(Trace_Working!D22="SOL","https://solscan.io/tx/"&amp;Trace_Working!F22,""))))))</f>
        <v/>
      </c>
    </row>
    <row r="23" spans="1:11" ht="21.95" customHeight="1" x14ac:dyDescent="0.25">
      <c r="A23" s="7">
        <f>Trace_Working!A23</f>
        <v>0</v>
      </c>
      <c r="B23" s="16">
        <f>Trace_Working!C23</f>
        <v>0</v>
      </c>
      <c r="C23" s="7">
        <f>Trace_Working!D23</f>
        <v>0</v>
      </c>
      <c r="D23" s="13" t="str">
        <f>IF(Trace_Working!F23="","",LEFT(Trace_Working!F23,10)&amp;"…" &amp;RIGHT(Trace_Working!F23,8))</f>
        <v/>
      </c>
      <c r="E23" s="13" t="str">
        <f>IF(Trace_Working!G23="","",LEFT(Trace_Working!G23,10)&amp;"…" &amp;RIGHT(Trace_Working!G23,8))</f>
        <v/>
      </c>
      <c r="F23" s="13" t="str">
        <f>IF(Trace_Working!H23="","",LEFT(Trace_Working!H23,10)&amp;"…" &amp;RIGHT(Trace_Working!H23,8))</f>
        <v/>
      </c>
      <c r="G23" s="13">
        <f>Trace_Working!I23</f>
        <v>0</v>
      </c>
      <c r="H23" s="7" t="str">
        <f>Trace_Working!M23</f>
        <v/>
      </c>
      <c r="I23" s="15" t="str">
        <f>Trace_Working!O23</f>
        <v/>
      </c>
      <c r="J23" s="7"/>
      <c r="K23" s="13" t="str">
        <f>IF(Trace_Working!F23="","",IF(Trace_Working!D23="ETH","https://etherscan.io/tx/"&amp;Trace_Working!F23,IF(Trace_Working!D23="BSC","https://bscscan.com/tx/"&amp;Trace_Working!F23,IF(Trace_Working!D23="BTC","https://mempool.space/tx/"&amp;Trace_Working!F23,IF(Trace_Working!D23="TRX","https://tronscan.org/#/transaction/"&amp;Trace_Working!F23,IF(Trace_Working!D23="SOL","https://solscan.io/tx/"&amp;Trace_Working!F23,""))))))</f>
        <v/>
      </c>
    </row>
    <row r="24" spans="1:11" ht="21.95" customHeight="1" x14ac:dyDescent="0.25">
      <c r="A24" s="7">
        <f>Trace_Working!A24</f>
        <v>0</v>
      </c>
      <c r="B24" s="16">
        <f>Trace_Working!C24</f>
        <v>0</v>
      </c>
      <c r="C24" s="7">
        <f>Trace_Working!D24</f>
        <v>0</v>
      </c>
      <c r="D24" s="13" t="str">
        <f>IF(Trace_Working!F24="","",LEFT(Trace_Working!F24,10)&amp;"…" &amp;RIGHT(Trace_Working!F24,8))</f>
        <v/>
      </c>
      <c r="E24" s="13" t="str">
        <f>IF(Trace_Working!G24="","",LEFT(Trace_Working!G24,10)&amp;"…" &amp;RIGHT(Trace_Working!G24,8))</f>
        <v/>
      </c>
      <c r="F24" s="13" t="str">
        <f>IF(Trace_Working!H24="","",LEFT(Trace_Working!H24,10)&amp;"…" &amp;RIGHT(Trace_Working!H24,8))</f>
        <v/>
      </c>
      <c r="G24" s="13">
        <f>Trace_Working!I24</f>
        <v>0</v>
      </c>
      <c r="H24" s="7" t="str">
        <f>Trace_Working!M24</f>
        <v/>
      </c>
      <c r="I24" s="15" t="str">
        <f>Trace_Working!O24</f>
        <v/>
      </c>
      <c r="J24" s="7"/>
      <c r="K24" s="13" t="str">
        <f>IF(Trace_Working!F24="","",IF(Trace_Working!D24="ETH","https://etherscan.io/tx/"&amp;Trace_Working!F24,IF(Trace_Working!D24="BSC","https://bscscan.com/tx/"&amp;Trace_Working!F24,IF(Trace_Working!D24="BTC","https://mempool.space/tx/"&amp;Trace_Working!F24,IF(Trace_Working!D24="TRX","https://tronscan.org/#/transaction/"&amp;Trace_Working!F24,IF(Trace_Working!D24="SOL","https://solscan.io/tx/"&amp;Trace_Working!F24,""))))))</f>
        <v/>
      </c>
    </row>
    <row r="25" spans="1:11" ht="21.95" customHeight="1" x14ac:dyDescent="0.25">
      <c r="A25" s="7">
        <f>Trace_Working!A25</f>
        <v>0</v>
      </c>
      <c r="B25" s="16">
        <f>Trace_Working!C25</f>
        <v>0</v>
      </c>
      <c r="C25" s="7">
        <f>Trace_Working!D25</f>
        <v>0</v>
      </c>
      <c r="D25" s="13" t="str">
        <f>IF(Trace_Working!F25="","",LEFT(Trace_Working!F25,10)&amp;"…" &amp;RIGHT(Trace_Working!F25,8))</f>
        <v/>
      </c>
      <c r="E25" s="13" t="str">
        <f>IF(Trace_Working!G25="","",LEFT(Trace_Working!G25,10)&amp;"…" &amp;RIGHT(Trace_Working!G25,8))</f>
        <v/>
      </c>
      <c r="F25" s="13" t="str">
        <f>IF(Trace_Working!H25="","",LEFT(Trace_Working!H25,10)&amp;"…" &amp;RIGHT(Trace_Working!H25,8))</f>
        <v/>
      </c>
      <c r="G25" s="13">
        <f>Trace_Working!I25</f>
        <v>0</v>
      </c>
      <c r="H25" s="7" t="str">
        <f>Trace_Working!M25</f>
        <v/>
      </c>
      <c r="I25" s="15" t="str">
        <f>Trace_Working!O25</f>
        <v/>
      </c>
      <c r="J25" s="7"/>
      <c r="K25" s="13" t="str">
        <f>IF(Trace_Working!F25="","",IF(Trace_Working!D25="ETH","https://etherscan.io/tx/"&amp;Trace_Working!F25,IF(Trace_Working!D25="BSC","https://bscscan.com/tx/"&amp;Trace_Working!F25,IF(Trace_Working!D25="BTC","https://mempool.space/tx/"&amp;Trace_Working!F25,IF(Trace_Working!D25="TRX","https://tronscan.org/#/transaction/"&amp;Trace_Working!F25,IF(Trace_Working!D25="SOL","https://solscan.io/tx/"&amp;Trace_Working!F25,""))))))</f>
        <v/>
      </c>
    </row>
    <row r="26" spans="1:11" ht="21.95" customHeight="1" x14ac:dyDescent="0.25">
      <c r="A26" s="7">
        <f>Trace_Working!A26</f>
        <v>0</v>
      </c>
      <c r="B26" s="16">
        <f>Trace_Working!C26</f>
        <v>0</v>
      </c>
      <c r="C26" s="7">
        <f>Trace_Working!D26</f>
        <v>0</v>
      </c>
      <c r="D26" s="13" t="str">
        <f>IF(Trace_Working!F26="","",LEFT(Trace_Working!F26,10)&amp;"…" &amp;RIGHT(Trace_Working!F26,8))</f>
        <v/>
      </c>
      <c r="E26" s="13" t="str">
        <f>IF(Trace_Working!G26="","",LEFT(Trace_Working!G26,10)&amp;"…" &amp;RIGHT(Trace_Working!G26,8))</f>
        <v/>
      </c>
      <c r="F26" s="13" t="str">
        <f>IF(Trace_Working!H26="","",LEFT(Trace_Working!H26,10)&amp;"…" &amp;RIGHT(Trace_Working!H26,8))</f>
        <v/>
      </c>
      <c r="G26" s="13">
        <f>Trace_Working!I26</f>
        <v>0</v>
      </c>
      <c r="H26" s="7" t="str">
        <f>Trace_Working!M26</f>
        <v/>
      </c>
      <c r="I26" s="15" t="str">
        <f>Trace_Working!O26</f>
        <v/>
      </c>
      <c r="J26" s="7"/>
      <c r="K26" s="13" t="str">
        <f>IF(Trace_Working!F26="","",IF(Trace_Working!D26="ETH","https://etherscan.io/tx/"&amp;Trace_Working!F26,IF(Trace_Working!D26="BSC","https://bscscan.com/tx/"&amp;Trace_Working!F26,IF(Trace_Working!D26="BTC","https://mempool.space/tx/"&amp;Trace_Working!F26,IF(Trace_Working!D26="TRX","https://tronscan.org/#/transaction/"&amp;Trace_Working!F26,IF(Trace_Working!D26="SOL","https://solscan.io/tx/"&amp;Trace_Working!F26,""))))))</f>
        <v/>
      </c>
    </row>
    <row r="27" spans="1:11" ht="21.95" customHeight="1" x14ac:dyDescent="0.25">
      <c r="A27" s="7">
        <f>Trace_Working!A27</f>
        <v>0</v>
      </c>
      <c r="B27" s="16">
        <f>Trace_Working!C27</f>
        <v>0</v>
      </c>
      <c r="C27" s="7">
        <f>Trace_Working!D27</f>
        <v>0</v>
      </c>
      <c r="D27" s="13" t="str">
        <f>IF(Trace_Working!F27="","",LEFT(Trace_Working!F27,10)&amp;"…" &amp;RIGHT(Trace_Working!F27,8))</f>
        <v/>
      </c>
      <c r="E27" s="13" t="str">
        <f>IF(Trace_Working!G27="","",LEFT(Trace_Working!G27,10)&amp;"…" &amp;RIGHT(Trace_Working!G27,8))</f>
        <v/>
      </c>
      <c r="F27" s="13" t="str">
        <f>IF(Trace_Working!H27="","",LEFT(Trace_Working!H27,10)&amp;"…" &amp;RIGHT(Trace_Working!H27,8))</f>
        <v/>
      </c>
      <c r="G27" s="13">
        <f>Trace_Working!I27</f>
        <v>0</v>
      </c>
      <c r="H27" s="7" t="str">
        <f>Trace_Working!M27</f>
        <v/>
      </c>
      <c r="I27" s="15" t="str">
        <f>Trace_Working!O27</f>
        <v/>
      </c>
      <c r="J27" s="7"/>
      <c r="K27" s="13" t="str">
        <f>IF(Trace_Working!F27="","",IF(Trace_Working!D27="ETH","https://etherscan.io/tx/"&amp;Trace_Working!F27,IF(Trace_Working!D27="BSC","https://bscscan.com/tx/"&amp;Trace_Working!F27,IF(Trace_Working!D27="BTC","https://mempool.space/tx/"&amp;Trace_Working!F27,IF(Trace_Working!D27="TRX","https://tronscan.org/#/transaction/"&amp;Trace_Working!F27,IF(Trace_Working!D27="SOL","https://solscan.io/tx/"&amp;Trace_Working!F27,""))))))</f>
        <v/>
      </c>
    </row>
    <row r="28" spans="1:11" ht="21.95" customHeight="1" x14ac:dyDescent="0.25">
      <c r="A28" s="7">
        <f>Trace_Working!A28</f>
        <v>0</v>
      </c>
      <c r="B28" s="16">
        <f>Trace_Working!C28</f>
        <v>0</v>
      </c>
      <c r="C28" s="7">
        <f>Trace_Working!D28</f>
        <v>0</v>
      </c>
      <c r="D28" s="13" t="str">
        <f>IF(Trace_Working!F28="","",LEFT(Trace_Working!F28,10)&amp;"…" &amp;RIGHT(Trace_Working!F28,8))</f>
        <v/>
      </c>
      <c r="E28" s="13" t="str">
        <f>IF(Trace_Working!G28="","",LEFT(Trace_Working!G28,10)&amp;"…" &amp;RIGHT(Trace_Working!G28,8))</f>
        <v/>
      </c>
      <c r="F28" s="13" t="str">
        <f>IF(Trace_Working!H28="","",LEFT(Trace_Working!H28,10)&amp;"…" &amp;RIGHT(Trace_Working!H28,8))</f>
        <v/>
      </c>
      <c r="G28" s="13">
        <f>Trace_Working!I28</f>
        <v>0</v>
      </c>
      <c r="H28" s="7" t="str">
        <f>Trace_Working!M28</f>
        <v/>
      </c>
      <c r="I28" s="15" t="str">
        <f>Trace_Working!O28</f>
        <v/>
      </c>
      <c r="J28" s="7"/>
      <c r="K28" s="13" t="str">
        <f>IF(Trace_Working!F28="","",IF(Trace_Working!D28="ETH","https://etherscan.io/tx/"&amp;Trace_Working!F28,IF(Trace_Working!D28="BSC","https://bscscan.com/tx/"&amp;Trace_Working!F28,IF(Trace_Working!D28="BTC","https://mempool.space/tx/"&amp;Trace_Working!F28,IF(Trace_Working!D28="TRX","https://tronscan.org/#/transaction/"&amp;Trace_Working!F28,IF(Trace_Working!D28="SOL","https://solscan.io/tx/"&amp;Trace_Working!F28,""))))))</f>
        <v/>
      </c>
    </row>
    <row r="29" spans="1:11" ht="21.95" customHeight="1" x14ac:dyDescent="0.25">
      <c r="A29" s="7">
        <f>Trace_Working!A29</f>
        <v>0</v>
      </c>
      <c r="B29" s="16">
        <f>Trace_Working!C29</f>
        <v>0</v>
      </c>
      <c r="C29" s="7">
        <f>Trace_Working!D29</f>
        <v>0</v>
      </c>
      <c r="D29" s="13" t="str">
        <f>IF(Trace_Working!F29="","",LEFT(Trace_Working!F29,10)&amp;"…" &amp;RIGHT(Trace_Working!F29,8))</f>
        <v/>
      </c>
      <c r="E29" s="13" t="str">
        <f>IF(Trace_Working!G29="","",LEFT(Trace_Working!G29,10)&amp;"…" &amp;RIGHT(Trace_Working!G29,8))</f>
        <v/>
      </c>
      <c r="F29" s="13" t="str">
        <f>IF(Trace_Working!H29="","",LEFT(Trace_Working!H29,10)&amp;"…" &amp;RIGHT(Trace_Working!H29,8))</f>
        <v/>
      </c>
      <c r="G29" s="13">
        <f>Trace_Working!I29</f>
        <v>0</v>
      </c>
      <c r="H29" s="7" t="str">
        <f>Trace_Working!M29</f>
        <v/>
      </c>
      <c r="I29" s="15" t="str">
        <f>Trace_Working!O29</f>
        <v/>
      </c>
      <c r="J29" s="7"/>
      <c r="K29" s="13" t="str">
        <f>IF(Trace_Working!F29="","",IF(Trace_Working!D29="ETH","https://etherscan.io/tx/"&amp;Trace_Working!F29,IF(Trace_Working!D29="BSC","https://bscscan.com/tx/"&amp;Trace_Working!F29,IF(Trace_Working!D29="BTC","https://mempool.space/tx/"&amp;Trace_Working!F29,IF(Trace_Working!D29="TRX","https://tronscan.org/#/transaction/"&amp;Trace_Working!F29,IF(Trace_Working!D29="SOL","https://solscan.io/tx/"&amp;Trace_Working!F29,""))))))</f>
        <v/>
      </c>
    </row>
    <row r="30" spans="1:11" ht="21.95" customHeight="1" x14ac:dyDescent="0.25">
      <c r="A30" s="7">
        <f>Trace_Working!A30</f>
        <v>0</v>
      </c>
      <c r="B30" s="16">
        <f>Trace_Working!C30</f>
        <v>0</v>
      </c>
      <c r="C30" s="7">
        <f>Trace_Working!D30</f>
        <v>0</v>
      </c>
      <c r="D30" s="13" t="str">
        <f>IF(Trace_Working!F30="","",LEFT(Trace_Working!F30,10)&amp;"…" &amp;RIGHT(Trace_Working!F30,8))</f>
        <v/>
      </c>
      <c r="E30" s="13" t="str">
        <f>IF(Trace_Working!G30="","",LEFT(Trace_Working!G30,10)&amp;"…" &amp;RIGHT(Trace_Working!G30,8))</f>
        <v/>
      </c>
      <c r="F30" s="13" t="str">
        <f>IF(Trace_Working!H30="","",LEFT(Trace_Working!H30,10)&amp;"…" &amp;RIGHT(Trace_Working!H30,8))</f>
        <v/>
      </c>
      <c r="G30" s="13">
        <f>Trace_Working!I30</f>
        <v>0</v>
      </c>
      <c r="H30" s="7" t="str">
        <f>Trace_Working!M30</f>
        <v/>
      </c>
      <c r="I30" s="15" t="str">
        <f>Trace_Working!O30</f>
        <v/>
      </c>
      <c r="J30" s="7"/>
      <c r="K30" s="13" t="str">
        <f>IF(Trace_Working!F30="","",IF(Trace_Working!D30="ETH","https://etherscan.io/tx/"&amp;Trace_Working!F30,IF(Trace_Working!D30="BSC","https://bscscan.com/tx/"&amp;Trace_Working!F30,IF(Trace_Working!D30="BTC","https://mempool.space/tx/"&amp;Trace_Working!F30,IF(Trace_Working!D30="TRX","https://tronscan.org/#/transaction/"&amp;Trace_Working!F30,IF(Trace_Working!D30="SOL","https://solscan.io/tx/"&amp;Trace_Working!F30,""))))))</f>
        <v/>
      </c>
    </row>
    <row r="31" spans="1:11" ht="21.95" customHeight="1" x14ac:dyDescent="0.25">
      <c r="A31" s="7">
        <f>Trace_Working!A31</f>
        <v>0</v>
      </c>
      <c r="B31" s="16">
        <f>Trace_Working!C31</f>
        <v>0</v>
      </c>
      <c r="C31" s="7">
        <f>Trace_Working!D31</f>
        <v>0</v>
      </c>
      <c r="D31" s="13" t="str">
        <f>IF(Trace_Working!F31="","",LEFT(Trace_Working!F31,10)&amp;"…" &amp;RIGHT(Trace_Working!F31,8))</f>
        <v/>
      </c>
      <c r="E31" s="13" t="str">
        <f>IF(Trace_Working!G31="","",LEFT(Trace_Working!G31,10)&amp;"…" &amp;RIGHT(Trace_Working!G31,8))</f>
        <v/>
      </c>
      <c r="F31" s="13" t="str">
        <f>IF(Trace_Working!H31="","",LEFT(Trace_Working!H31,10)&amp;"…" &amp;RIGHT(Trace_Working!H31,8))</f>
        <v/>
      </c>
      <c r="G31" s="13">
        <f>Trace_Working!I31</f>
        <v>0</v>
      </c>
      <c r="H31" s="7" t="str">
        <f>Trace_Working!M31</f>
        <v/>
      </c>
      <c r="I31" s="15" t="str">
        <f>Trace_Working!O31</f>
        <v/>
      </c>
      <c r="J31" s="7"/>
      <c r="K31" s="13" t="str">
        <f>IF(Trace_Working!F31="","",IF(Trace_Working!D31="ETH","https://etherscan.io/tx/"&amp;Trace_Working!F31,IF(Trace_Working!D31="BSC","https://bscscan.com/tx/"&amp;Trace_Working!F31,IF(Trace_Working!D31="BTC","https://mempool.space/tx/"&amp;Trace_Working!F31,IF(Trace_Working!D31="TRX","https://tronscan.org/#/transaction/"&amp;Trace_Working!F31,IF(Trace_Working!D31="SOL","https://solscan.io/tx/"&amp;Trace_Working!F31,""))))))</f>
        <v/>
      </c>
    </row>
    <row r="32" spans="1:11" ht="21.95" customHeight="1" x14ac:dyDescent="0.25">
      <c r="A32" s="7">
        <f>Trace_Working!A32</f>
        <v>0</v>
      </c>
      <c r="B32" s="16">
        <f>Trace_Working!C32</f>
        <v>0</v>
      </c>
      <c r="C32" s="7">
        <f>Trace_Working!D32</f>
        <v>0</v>
      </c>
      <c r="D32" s="13" t="str">
        <f>IF(Trace_Working!F32="","",LEFT(Trace_Working!F32,10)&amp;"…" &amp;RIGHT(Trace_Working!F32,8))</f>
        <v/>
      </c>
      <c r="E32" s="13" t="str">
        <f>IF(Trace_Working!G32="","",LEFT(Trace_Working!G32,10)&amp;"…" &amp;RIGHT(Trace_Working!G32,8))</f>
        <v/>
      </c>
      <c r="F32" s="13" t="str">
        <f>IF(Trace_Working!H32="","",LEFT(Trace_Working!H32,10)&amp;"…" &amp;RIGHT(Trace_Working!H32,8))</f>
        <v/>
      </c>
      <c r="G32" s="13">
        <f>Trace_Working!I32</f>
        <v>0</v>
      </c>
      <c r="H32" s="7" t="str">
        <f>Trace_Working!M32</f>
        <v/>
      </c>
      <c r="I32" s="15" t="str">
        <f>Trace_Working!O32</f>
        <v/>
      </c>
      <c r="J32" s="7"/>
      <c r="K32" s="13" t="str">
        <f>IF(Trace_Working!F32="","",IF(Trace_Working!D32="ETH","https://etherscan.io/tx/"&amp;Trace_Working!F32,IF(Trace_Working!D32="BSC","https://bscscan.com/tx/"&amp;Trace_Working!F32,IF(Trace_Working!D32="BTC","https://mempool.space/tx/"&amp;Trace_Working!F32,IF(Trace_Working!D32="TRX","https://tronscan.org/#/transaction/"&amp;Trace_Working!F32,IF(Trace_Working!D32="SOL","https://solscan.io/tx/"&amp;Trace_Working!F32,""))))))</f>
        <v/>
      </c>
    </row>
    <row r="33" spans="1:11" ht="21.95" customHeight="1" x14ac:dyDescent="0.25">
      <c r="A33" s="7">
        <f>Trace_Working!A33</f>
        <v>0</v>
      </c>
      <c r="B33" s="16">
        <f>Trace_Working!C33</f>
        <v>0</v>
      </c>
      <c r="C33" s="7">
        <f>Trace_Working!D33</f>
        <v>0</v>
      </c>
      <c r="D33" s="13" t="str">
        <f>IF(Trace_Working!F33="","",LEFT(Trace_Working!F33,10)&amp;"…" &amp;RIGHT(Trace_Working!F33,8))</f>
        <v/>
      </c>
      <c r="E33" s="13" t="str">
        <f>IF(Trace_Working!G33="","",LEFT(Trace_Working!G33,10)&amp;"…" &amp;RIGHT(Trace_Working!G33,8))</f>
        <v/>
      </c>
      <c r="F33" s="13" t="str">
        <f>IF(Trace_Working!H33="","",LEFT(Trace_Working!H33,10)&amp;"…" &amp;RIGHT(Trace_Working!H33,8))</f>
        <v/>
      </c>
      <c r="G33" s="13">
        <f>Trace_Working!I33</f>
        <v>0</v>
      </c>
      <c r="H33" s="7" t="str">
        <f>Trace_Working!M33</f>
        <v/>
      </c>
      <c r="I33" s="15" t="str">
        <f>Trace_Working!O33</f>
        <v/>
      </c>
      <c r="J33" s="7"/>
      <c r="K33" s="13" t="str">
        <f>IF(Trace_Working!F33="","",IF(Trace_Working!D33="ETH","https://etherscan.io/tx/"&amp;Trace_Working!F33,IF(Trace_Working!D33="BSC","https://bscscan.com/tx/"&amp;Trace_Working!F33,IF(Trace_Working!D33="BTC","https://mempool.space/tx/"&amp;Trace_Working!F33,IF(Trace_Working!D33="TRX","https://tronscan.org/#/transaction/"&amp;Trace_Working!F33,IF(Trace_Working!D33="SOL","https://solscan.io/tx/"&amp;Trace_Working!F33,""))))))</f>
        <v/>
      </c>
    </row>
    <row r="34" spans="1:11" ht="21.95" customHeight="1" x14ac:dyDescent="0.25">
      <c r="A34" s="7">
        <f>Trace_Working!A34</f>
        <v>0</v>
      </c>
      <c r="B34" s="16">
        <f>Trace_Working!C34</f>
        <v>0</v>
      </c>
      <c r="C34" s="7">
        <f>Trace_Working!D34</f>
        <v>0</v>
      </c>
      <c r="D34" s="13" t="str">
        <f>IF(Trace_Working!F34="","",LEFT(Trace_Working!F34,10)&amp;"…" &amp;RIGHT(Trace_Working!F34,8))</f>
        <v/>
      </c>
      <c r="E34" s="13" t="str">
        <f>IF(Trace_Working!G34="","",LEFT(Trace_Working!G34,10)&amp;"…" &amp;RIGHT(Trace_Working!G34,8))</f>
        <v/>
      </c>
      <c r="F34" s="13" t="str">
        <f>IF(Trace_Working!H34="","",LEFT(Trace_Working!H34,10)&amp;"…" &amp;RIGHT(Trace_Working!H34,8))</f>
        <v/>
      </c>
      <c r="G34" s="13">
        <f>Trace_Working!I34</f>
        <v>0</v>
      </c>
      <c r="H34" s="7" t="str">
        <f>Trace_Working!M34</f>
        <v/>
      </c>
      <c r="I34" s="15" t="str">
        <f>Trace_Working!O34</f>
        <v/>
      </c>
      <c r="J34" s="7"/>
      <c r="K34" s="13" t="str">
        <f>IF(Trace_Working!F34="","",IF(Trace_Working!D34="ETH","https://etherscan.io/tx/"&amp;Trace_Working!F34,IF(Trace_Working!D34="BSC","https://bscscan.com/tx/"&amp;Trace_Working!F34,IF(Trace_Working!D34="BTC","https://mempool.space/tx/"&amp;Trace_Working!F34,IF(Trace_Working!D34="TRX","https://tronscan.org/#/transaction/"&amp;Trace_Working!F34,IF(Trace_Working!D34="SOL","https://solscan.io/tx/"&amp;Trace_Working!F34,""))))))</f>
        <v/>
      </c>
    </row>
    <row r="35" spans="1:11" ht="21.95" customHeight="1" x14ac:dyDescent="0.25">
      <c r="A35" s="7">
        <f>Trace_Working!A35</f>
        <v>0</v>
      </c>
      <c r="B35" s="16">
        <f>Trace_Working!C35</f>
        <v>0</v>
      </c>
      <c r="C35" s="7">
        <f>Trace_Working!D35</f>
        <v>0</v>
      </c>
      <c r="D35" s="13" t="str">
        <f>IF(Trace_Working!F35="","",LEFT(Trace_Working!F35,10)&amp;"…" &amp;RIGHT(Trace_Working!F35,8))</f>
        <v/>
      </c>
      <c r="E35" s="13" t="str">
        <f>IF(Trace_Working!G35="","",LEFT(Trace_Working!G35,10)&amp;"…" &amp;RIGHT(Trace_Working!G35,8))</f>
        <v/>
      </c>
      <c r="F35" s="13" t="str">
        <f>IF(Trace_Working!H35="","",LEFT(Trace_Working!H35,10)&amp;"…" &amp;RIGHT(Trace_Working!H35,8))</f>
        <v/>
      </c>
      <c r="G35" s="13">
        <f>Trace_Working!I35</f>
        <v>0</v>
      </c>
      <c r="H35" s="7" t="str">
        <f>Trace_Working!M35</f>
        <v/>
      </c>
      <c r="I35" s="15" t="str">
        <f>Trace_Working!O35</f>
        <v/>
      </c>
      <c r="J35" s="7"/>
      <c r="K35" s="13" t="str">
        <f>IF(Trace_Working!F35="","",IF(Trace_Working!D35="ETH","https://etherscan.io/tx/"&amp;Trace_Working!F35,IF(Trace_Working!D35="BSC","https://bscscan.com/tx/"&amp;Trace_Working!F35,IF(Trace_Working!D35="BTC","https://mempool.space/tx/"&amp;Trace_Working!F35,IF(Trace_Working!D35="TRX","https://tronscan.org/#/transaction/"&amp;Trace_Working!F35,IF(Trace_Working!D35="SOL","https://solscan.io/tx/"&amp;Trace_Working!F35,""))))))</f>
        <v/>
      </c>
    </row>
    <row r="36" spans="1:11" ht="21.95" customHeight="1" x14ac:dyDescent="0.25">
      <c r="A36" s="7">
        <f>Trace_Working!A36</f>
        <v>0</v>
      </c>
      <c r="B36" s="16">
        <f>Trace_Working!C36</f>
        <v>0</v>
      </c>
      <c r="C36" s="7">
        <f>Trace_Working!D36</f>
        <v>0</v>
      </c>
      <c r="D36" s="13" t="str">
        <f>IF(Trace_Working!F36="","",LEFT(Trace_Working!F36,10)&amp;"…" &amp;RIGHT(Trace_Working!F36,8))</f>
        <v/>
      </c>
      <c r="E36" s="13" t="str">
        <f>IF(Trace_Working!G36="","",LEFT(Trace_Working!G36,10)&amp;"…" &amp;RIGHT(Trace_Working!G36,8))</f>
        <v/>
      </c>
      <c r="F36" s="13" t="str">
        <f>IF(Trace_Working!H36="","",LEFT(Trace_Working!H36,10)&amp;"…" &amp;RIGHT(Trace_Working!H36,8))</f>
        <v/>
      </c>
      <c r="G36" s="13">
        <f>Trace_Working!I36</f>
        <v>0</v>
      </c>
      <c r="H36" s="7" t="str">
        <f>Trace_Working!M36</f>
        <v/>
      </c>
      <c r="I36" s="15" t="str">
        <f>Trace_Working!O36</f>
        <v/>
      </c>
      <c r="J36" s="7"/>
      <c r="K36" s="13" t="str">
        <f>IF(Trace_Working!F36="","",IF(Trace_Working!D36="ETH","https://etherscan.io/tx/"&amp;Trace_Working!F36,IF(Trace_Working!D36="BSC","https://bscscan.com/tx/"&amp;Trace_Working!F36,IF(Trace_Working!D36="BTC","https://mempool.space/tx/"&amp;Trace_Working!F36,IF(Trace_Working!D36="TRX","https://tronscan.org/#/transaction/"&amp;Trace_Working!F36,IF(Trace_Working!D36="SOL","https://solscan.io/tx/"&amp;Trace_Working!F36,""))))))</f>
        <v/>
      </c>
    </row>
    <row r="37" spans="1:11" ht="21.95" customHeight="1" x14ac:dyDescent="0.25">
      <c r="A37" s="7">
        <f>Trace_Working!A37</f>
        <v>0</v>
      </c>
      <c r="B37" s="16">
        <f>Trace_Working!C37</f>
        <v>0</v>
      </c>
      <c r="C37" s="7">
        <f>Trace_Working!D37</f>
        <v>0</v>
      </c>
      <c r="D37" s="13" t="str">
        <f>IF(Trace_Working!F37="","",LEFT(Trace_Working!F37,10)&amp;"…" &amp;RIGHT(Trace_Working!F37,8))</f>
        <v/>
      </c>
      <c r="E37" s="13" t="str">
        <f>IF(Trace_Working!G37="","",LEFT(Trace_Working!G37,10)&amp;"…" &amp;RIGHT(Trace_Working!G37,8))</f>
        <v/>
      </c>
      <c r="F37" s="13" t="str">
        <f>IF(Trace_Working!H37="","",LEFT(Trace_Working!H37,10)&amp;"…" &amp;RIGHT(Trace_Working!H37,8))</f>
        <v/>
      </c>
      <c r="G37" s="13">
        <f>Trace_Working!I37</f>
        <v>0</v>
      </c>
      <c r="H37" s="7" t="str">
        <f>Trace_Working!M37</f>
        <v/>
      </c>
      <c r="I37" s="15" t="str">
        <f>Trace_Working!O37</f>
        <v/>
      </c>
      <c r="J37" s="7"/>
      <c r="K37" s="13" t="str">
        <f>IF(Trace_Working!F37="","",IF(Trace_Working!D37="ETH","https://etherscan.io/tx/"&amp;Trace_Working!F37,IF(Trace_Working!D37="BSC","https://bscscan.com/tx/"&amp;Trace_Working!F37,IF(Trace_Working!D37="BTC","https://mempool.space/tx/"&amp;Trace_Working!F37,IF(Trace_Working!D37="TRX","https://tronscan.org/#/transaction/"&amp;Trace_Working!F37,IF(Trace_Working!D37="SOL","https://solscan.io/tx/"&amp;Trace_Working!F37,""))))))</f>
        <v/>
      </c>
    </row>
    <row r="38" spans="1:11" ht="21.95" customHeight="1" x14ac:dyDescent="0.25">
      <c r="A38" s="7">
        <f>Trace_Working!A38</f>
        <v>0</v>
      </c>
      <c r="B38" s="16">
        <f>Trace_Working!C38</f>
        <v>0</v>
      </c>
      <c r="C38" s="7">
        <f>Trace_Working!D38</f>
        <v>0</v>
      </c>
      <c r="D38" s="13" t="str">
        <f>IF(Trace_Working!F38="","",LEFT(Trace_Working!F38,10)&amp;"…" &amp;RIGHT(Trace_Working!F38,8))</f>
        <v/>
      </c>
      <c r="E38" s="13" t="str">
        <f>IF(Trace_Working!G38="","",LEFT(Trace_Working!G38,10)&amp;"…" &amp;RIGHT(Trace_Working!G38,8))</f>
        <v/>
      </c>
      <c r="F38" s="13" t="str">
        <f>IF(Trace_Working!H38="","",LEFT(Trace_Working!H38,10)&amp;"…" &amp;RIGHT(Trace_Working!H38,8))</f>
        <v/>
      </c>
      <c r="G38" s="13">
        <f>Trace_Working!I38</f>
        <v>0</v>
      </c>
      <c r="H38" s="7" t="str">
        <f>Trace_Working!M38</f>
        <v/>
      </c>
      <c r="I38" s="15" t="str">
        <f>Trace_Working!O38</f>
        <v/>
      </c>
      <c r="J38" s="7"/>
      <c r="K38" s="13" t="str">
        <f>IF(Trace_Working!F38="","",IF(Trace_Working!D38="ETH","https://etherscan.io/tx/"&amp;Trace_Working!F38,IF(Trace_Working!D38="BSC","https://bscscan.com/tx/"&amp;Trace_Working!F38,IF(Trace_Working!D38="BTC","https://mempool.space/tx/"&amp;Trace_Working!F38,IF(Trace_Working!D38="TRX","https://tronscan.org/#/transaction/"&amp;Trace_Working!F38,IF(Trace_Working!D38="SOL","https://solscan.io/tx/"&amp;Trace_Working!F38,""))))))</f>
        <v/>
      </c>
    </row>
    <row r="39" spans="1:11" ht="21.95" customHeight="1" x14ac:dyDescent="0.25">
      <c r="A39" s="7">
        <f>Trace_Working!A39</f>
        <v>0</v>
      </c>
      <c r="B39" s="16">
        <f>Trace_Working!C39</f>
        <v>0</v>
      </c>
      <c r="C39" s="7">
        <f>Trace_Working!D39</f>
        <v>0</v>
      </c>
      <c r="D39" s="13" t="str">
        <f>IF(Trace_Working!F39="","",LEFT(Trace_Working!F39,10)&amp;"…" &amp;RIGHT(Trace_Working!F39,8))</f>
        <v/>
      </c>
      <c r="E39" s="13" t="str">
        <f>IF(Trace_Working!G39="","",LEFT(Trace_Working!G39,10)&amp;"…" &amp;RIGHT(Trace_Working!G39,8))</f>
        <v/>
      </c>
      <c r="F39" s="13" t="str">
        <f>IF(Trace_Working!H39="","",LEFT(Trace_Working!H39,10)&amp;"…" &amp;RIGHT(Trace_Working!H39,8))</f>
        <v/>
      </c>
      <c r="G39" s="13">
        <f>Trace_Working!I39</f>
        <v>0</v>
      </c>
      <c r="H39" s="7" t="str">
        <f>Trace_Working!M39</f>
        <v/>
      </c>
      <c r="I39" s="15" t="str">
        <f>Trace_Working!O39</f>
        <v/>
      </c>
      <c r="J39" s="7"/>
      <c r="K39" s="13" t="str">
        <f>IF(Trace_Working!F39="","",IF(Trace_Working!D39="ETH","https://etherscan.io/tx/"&amp;Trace_Working!F39,IF(Trace_Working!D39="BSC","https://bscscan.com/tx/"&amp;Trace_Working!F39,IF(Trace_Working!D39="BTC","https://mempool.space/tx/"&amp;Trace_Working!F39,IF(Trace_Working!D39="TRX","https://tronscan.org/#/transaction/"&amp;Trace_Working!F39,IF(Trace_Working!D39="SOL","https://solscan.io/tx/"&amp;Trace_Working!F39,""))))))</f>
        <v/>
      </c>
    </row>
    <row r="40" spans="1:11" ht="21.95" customHeight="1" x14ac:dyDescent="0.25">
      <c r="A40" s="7">
        <f>Trace_Working!A40</f>
        <v>0</v>
      </c>
      <c r="B40" s="16">
        <f>Trace_Working!C40</f>
        <v>0</v>
      </c>
      <c r="C40" s="7">
        <f>Trace_Working!D40</f>
        <v>0</v>
      </c>
      <c r="D40" s="13" t="str">
        <f>IF(Trace_Working!F40="","",LEFT(Trace_Working!F40,10)&amp;"…" &amp;RIGHT(Trace_Working!F40,8))</f>
        <v/>
      </c>
      <c r="E40" s="13" t="str">
        <f>IF(Trace_Working!G40="","",LEFT(Trace_Working!G40,10)&amp;"…" &amp;RIGHT(Trace_Working!G40,8))</f>
        <v/>
      </c>
      <c r="F40" s="13" t="str">
        <f>IF(Trace_Working!H40="","",LEFT(Trace_Working!H40,10)&amp;"…" &amp;RIGHT(Trace_Working!H40,8))</f>
        <v/>
      </c>
      <c r="G40" s="13">
        <f>Trace_Working!I40</f>
        <v>0</v>
      </c>
      <c r="H40" s="7" t="str">
        <f>Trace_Working!M40</f>
        <v/>
      </c>
      <c r="I40" s="15" t="str">
        <f>Trace_Working!O40</f>
        <v/>
      </c>
      <c r="J40" s="7"/>
      <c r="K40" s="13" t="str">
        <f>IF(Trace_Working!F40="","",IF(Trace_Working!D40="ETH","https://etherscan.io/tx/"&amp;Trace_Working!F40,IF(Trace_Working!D40="BSC","https://bscscan.com/tx/"&amp;Trace_Working!F40,IF(Trace_Working!D40="BTC","https://mempool.space/tx/"&amp;Trace_Working!F40,IF(Trace_Working!D40="TRX","https://tronscan.org/#/transaction/"&amp;Trace_Working!F40,IF(Trace_Working!D40="SOL","https://solscan.io/tx/"&amp;Trace_Working!F40,""))))))</f>
        <v/>
      </c>
    </row>
    <row r="41" spans="1:11" ht="21.95" customHeight="1" x14ac:dyDescent="0.25">
      <c r="A41" s="7">
        <f>Trace_Working!A41</f>
        <v>0</v>
      </c>
      <c r="B41" s="16">
        <f>Trace_Working!C41</f>
        <v>0</v>
      </c>
      <c r="C41" s="7">
        <f>Trace_Working!D41</f>
        <v>0</v>
      </c>
      <c r="D41" s="13" t="str">
        <f>IF(Trace_Working!F41="","",LEFT(Trace_Working!F41,10)&amp;"…" &amp;RIGHT(Trace_Working!F41,8))</f>
        <v/>
      </c>
      <c r="E41" s="13" t="str">
        <f>IF(Trace_Working!G41="","",LEFT(Trace_Working!G41,10)&amp;"…" &amp;RIGHT(Trace_Working!G41,8))</f>
        <v/>
      </c>
      <c r="F41" s="13" t="str">
        <f>IF(Trace_Working!H41="","",LEFT(Trace_Working!H41,10)&amp;"…" &amp;RIGHT(Trace_Working!H41,8))</f>
        <v/>
      </c>
      <c r="G41" s="13">
        <f>Trace_Working!I41</f>
        <v>0</v>
      </c>
      <c r="H41" s="7" t="str">
        <f>Trace_Working!M41</f>
        <v/>
      </c>
      <c r="I41" s="15" t="str">
        <f>Trace_Working!O41</f>
        <v/>
      </c>
      <c r="J41" s="7"/>
      <c r="K41" s="13" t="str">
        <f>IF(Trace_Working!F41="","",IF(Trace_Working!D41="ETH","https://etherscan.io/tx/"&amp;Trace_Working!F41,IF(Trace_Working!D41="BSC","https://bscscan.com/tx/"&amp;Trace_Working!F41,IF(Trace_Working!D41="BTC","https://mempool.space/tx/"&amp;Trace_Working!F41,IF(Trace_Working!D41="TRX","https://tronscan.org/#/transaction/"&amp;Trace_Working!F41,IF(Trace_Working!D41="SOL","https://solscan.io/tx/"&amp;Trace_Working!F41,""))))))</f>
        <v/>
      </c>
    </row>
    <row r="42" spans="1:11" ht="21.95" customHeight="1" x14ac:dyDescent="0.25">
      <c r="A42" s="7">
        <f>Trace_Working!A42</f>
        <v>0</v>
      </c>
      <c r="B42" s="16">
        <f>Trace_Working!C42</f>
        <v>0</v>
      </c>
      <c r="C42" s="7">
        <f>Trace_Working!D42</f>
        <v>0</v>
      </c>
      <c r="D42" s="13" t="str">
        <f>IF(Trace_Working!F42="","",LEFT(Trace_Working!F42,10)&amp;"…" &amp;RIGHT(Trace_Working!F42,8))</f>
        <v/>
      </c>
      <c r="E42" s="13" t="str">
        <f>IF(Trace_Working!G42="","",LEFT(Trace_Working!G42,10)&amp;"…" &amp;RIGHT(Trace_Working!G42,8))</f>
        <v/>
      </c>
      <c r="F42" s="13" t="str">
        <f>IF(Trace_Working!H42="","",LEFT(Trace_Working!H42,10)&amp;"…" &amp;RIGHT(Trace_Working!H42,8))</f>
        <v/>
      </c>
      <c r="G42" s="13">
        <f>Trace_Working!I42</f>
        <v>0</v>
      </c>
      <c r="H42" s="7" t="str">
        <f>Trace_Working!M42</f>
        <v/>
      </c>
      <c r="I42" s="15" t="str">
        <f>Trace_Working!O42</f>
        <v/>
      </c>
      <c r="J42" s="7"/>
      <c r="K42" s="13" t="str">
        <f>IF(Trace_Working!F42="","",IF(Trace_Working!D42="ETH","https://etherscan.io/tx/"&amp;Trace_Working!F42,IF(Trace_Working!D42="BSC","https://bscscan.com/tx/"&amp;Trace_Working!F42,IF(Trace_Working!D42="BTC","https://mempool.space/tx/"&amp;Trace_Working!F42,IF(Trace_Working!D42="TRX","https://tronscan.org/#/transaction/"&amp;Trace_Working!F42,IF(Trace_Working!D42="SOL","https://solscan.io/tx/"&amp;Trace_Working!F42,""))))))</f>
        <v/>
      </c>
    </row>
    <row r="43" spans="1:11" ht="21.95" customHeight="1" x14ac:dyDescent="0.25">
      <c r="A43" s="7">
        <f>Trace_Working!A43</f>
        <v>0</v>
      </c>
      <c r="B43" s="16">
        <f>Trace_Working!C43</f>
        <v>0</v>
      </c>
      <c r="C43" s="7">
        <f>Trace_Working!D43</f>
        <v>0</v>
      </c>
      <c r="D43" s="13" t="str">
        <f>IF(Trace_Working!F43="","",LEFT(Trace_Working!F43,10)&amp;"…" &amp;RIGHT(Trace_Working!F43,8))</f>
        <v/>
      </c>
      <c r="E43" s="13" t="str">
        <f>IF(Trace_Working!G43="","",LEFT(Trace_Working!G43,10)&amp;"…" &amp;RIGHT(Trace_Working!G43,8))</f>
        <v/>
      </c>
      <c r="F43" s="13" t="str">
        <f>IF(Trace_Working!H43="","",LEFT(Trace_Working!H43,10)&amp;"…" &amp;RIGHT(Trace_Working!H43,8))</f>
        <v/>
      </c>
      <c r="G43" s="13">
        <f>Trace_Working!I43</f>
        <v>0</v>
      </c>
      <c r="H43" s="7" t="str">
        <f>Trace_Working!M43</f>
        <v/>
      </c>
      <c r="I43" s="15" t="str">
        <f>Trace_Working!O43</f>
        <v/>
      </c>
      <c r="J43" s="7"/>
      <c r="K43" s="13" t="str">
        <f>IF(Trace_Working!F43="","",IF(Trace_Working!D43="ETH","https://etherscan.io/tx/"&amp;Trace_Working!F43,IF(Trace_Working!D43="BSC","https://bscscan.com/tx/"&amp;Trace_Working!F43,IF(Trace_Working!D43="BTC","https://mempool.space/tx/"&amp;Trace_Working!F43,IF(Trace_Working!D43="TRX","https://tronscan.org/#/transaction/"&amp;Trace_Working!F43,IF(Trace_Working!D43="SOL","https://solscan.io/tx/"&amp;Trace_Working!F43,""))))))</f>
        <v/>
      </c>
    </row>
    <row r="44" spans="1:11" ht="21.95" customHeight="1" x14ac:dyDescent="0.25">
      <c r="A44" s="7">
        <f>Trace_Working!A44</f>
        <v>0</v>
      </c>
      <c r="B44" s="16">
        <f>Trace_Working!C44</f>
        <v>0</v>
      </c>
      <c r="C44" s="7">
        <f>Trace_Working!D44</f>
        <v>0</v>
      </c>
      <c r="D44" s="13" t="str">
        <f>IF(Trace_Working!F44="","",LEFT(Trace_Working!F44,10)&amp;"…" &amp;RIGHT(Trace_Working!F44,8))</f>
        <v/>
      </c>
      <c r="E44" s="13" t="str">
        <f>IF(Trace_Working!G44="","",LEFT(Trace_Working!G44,10)&amp;"…" &amp;RIGHT(Trace_Working!G44,8))</f>
        <v/>
      </c>
      <c r="F44" s="13" t="str">
        <f>IF(Trace_Working!H44="","",LEFT(Trace_Working!H44,10)&amp;"…" &amp;RIGHT(Trace_Working!H44,8))</f>
        <v/>
      </c>
      <c r="G44" s="13">
        <f>Trace_Working!I44</f>
        <v>0</v>
      </c>
      <c r="H44" s="7" t="str">
        <f>Trace_Working!M44</f>
        <v/>
      </c>
      <c r="I44" s="15" t="str">
        <f>Trace_Working!O44</f>
        <v/>
      </c>
      <c r="J44" s="7"/>
      <c r="K44" s="13" t="str">
        <f>IF(Trace_Working!F44="","",IF(Trace_Working!D44="ETH","https://etherscan.io/tx/"&amp;Trace_Working!F44,IF(Trace_Working!D44="BSC","https://bscscan.com/tx/"&amp;Trace_Working!F44,IF(Trace_Working!D44="BTC","https://mempool.space/tx/"&amp;Trace_Working!F44,IF(Trace_Working!D44="TRX","https://tronscan.org/#/transaction/"&amp;Trace_Working!F44,IF(Trace_Working!D44="SOL","https://solscan.io/tx/"&amp;Trace_Working!F44,""))))))</f>
        <v/>
      </c>
    </row>
    <row r="45" spans="1:11" ht="21.95" customHeight="1" x14ac:dyDescent="0.25">
      <c r="A45" s="7">
        <f>Trace_Working!A45</f>
        <v>0</v>
      </c>
      <c r="B45" s="16">
        <f>Trace_Working!C45</f>
        <v>0</v>
      </c>
      <c r="C45" s="7">
        <f>Trace_Working!D45</f>
        <v>0</v>
      </c>
      <c r="D45" s="13" t="str">
        <f>IF(Trace_Working!F45="","",LEFT(Trace_Working!F45,10)&amp;"…" &amp;RIGHT(Trace_Working!F45,8))</f>
        <v/>
      </c>
      <c r="E45" s="13" t="str">
        <f>IF(Trace_Working!G45="","",LEFT(Trace_Working!G45,10)&amp;"…" &amp;RIGHT(Trace_Working!G45,8))</f>
        <v/>
      </c>
      <c r="F45" s="13" t="str">
        <f>IF(Trace_Working!H45="","",LEFT(Trace_Working!H45,10)&amp;"…" &amp;RIGHT(Trace_Working!H45,8))</f>
        <v/>
      </c>
      <c r="G45" s="13">
        <f>Trace_Working!I45</f>
        <v>0</v>
      </c>
      <c r="H45" s="7" t="str">
        <f>Trace_Working!M45</f>
        <v/>
      </c>
      <c r="I45" s="15" t="str">
        <f>Trace_Working!O45</f>
        <v/>
      </c>
      <c r="J45" s="7"/>
      <c r="K45" s="13" t="str">
        <f>IF(Trace_Working!F45="","",IF(Trace_Working!D45="ETH","https://etherscan.io/tx/"&amp;Trace_Working!F45,IF(Trace_Working!D45="BSC","https://bscscan.com/tx/"&amp;Trace_Working!F45,IF(Trace_Working!D45="BTC","https://mempool.space/tx/"&amp;Trace_Working!F45,IF(Trace_Working!D45="TRX","https://tronscan.org/#/transaction/"&amp;Trace_Working!F45,IF(Trace_Working!D45="SOL","https://solscan.io/tx/"&amp;Trace_Working!F45,""))))))</f>
        <v/>
      </c>
    </row>
    <row r="46" spans="1:11" ht="21.95" customHeight="1" x14ac:dyDescent="0.25">
      <c r="A46" s="7">
        <f>Trace_Working!A46</f>
        <v>0</v>
      </c>
      <c r="B46" s="16">
        <f>Trace_Working!C46</f>
        <v>0</v>
      </c>
      <c r="C46" s="7">
        <f>Trace_Working!D46</f>
        <v>0</v>
      </c>
      <c r="D46" s="13" t="str">
        <f>IF(Trace_Working!F46="","",LEFT(Trace_Working!F46,10)&amp;"…" &amp;RIGHT(Trace_Working!F46,8))</f>
        <v/>
      </c>
      <c r="E46" s="13" t="str">
        <f>IF(Trace_Working!G46="","",LEFT(Trace_Working!G46,10)&amp;"…" &amp;RIGHT(Trace_Working!G46,8))</f>
        <v/>
      </c>
      <c r="F46" s="13" t="str">
        <f>IF(Trace_Working!H46="","",LEFT(Trace_Working!H46,10)&amp;"…" &amp;RIGHT(Trace_Working!H46,8))</f>
        <v/>
      </c>
      <c r="G46" s="13">
        <f>Trace_Working!I46</f>
        <v>0</v>
      </c>
      <c r="H46" s="7" t="str">
        <f>Trace_Working!M46</f>
        <v/>
      </c>
      <c r="I46" s="15" t="str">
        <f>Trace_Working!O46</f>
        <v/>
      </c>
      <c r="J46" s="7"/>
      <c r="K46" s="13" t="str">
        <f>IF(Trace_Working!F46="","",IF(Trace_Working!D46="ETH","https://etherscan.io/tx/"&amp;Trace_Working!F46,IF(Trace_Working!D46="BSC","https://bscscan.com/tx/"&amp;Trace_Working!F46,IF(Trace_Working!D46="BTC","https://mempool.space/tx/"&amp;Trace_Working!F46,IF(Trace_Working!D46="TRX","https://tronscan.org/#/transaction/"&amp;Trace_Working!F46,IF(Trace_Working!D46="SOL","https://solscan.io/tx/"&amp;Trace_Working!F46,""))))))</f>
        <v/>
      </c>
    </row>
    <row r="47" spans="1:11" ht="21.95" customHeight="1" x14ac:dyDescent="0.25">
      <c r="A47" s="7">
        <f>Trace_Working!A47</f>
        <v>0</v>
      </c>
      <c r="B47" s="16">
        <f>Trace_Working!C47</f>
        <v>0</v>
      </c>
      <c r="C47" s="7">
        <f>Trace_Working!D47</f>
        <v>0</v>
      </c>
      <c r="D47" s="13" t="str">
        <f>IF(Trace_Working!F47="","",LEFT(Trace_Working!F47,10)&amp;"…" &amp;RIGHT(Trace_Working!F47,8))</f>
        <v/>
      </c>
      <c r="E47" s="13" t="str">
        <f>IF(Trace_Working!G47="","",LEFT(Trace_Working!G47,10)&amp;"…" &amp;RIGHT(Trace_Working!G47,8))</f>
        <v/>
      </c>
      <c r="F47" s="13" t="str">
        <f>IF(Trace_Working!H47="","",LEFT(Trace_Working!H47,10)&amp;"…" &amp;RIGHT(Trace_Working!H47,8))</f>
        <v/>
      </c>
      <c r="G47" s="13">
        <f>Trace_Working!I47</f>
        <v>0</v>
      </c>
      <c r="H47" s="7" t="str">
        <f>Trace_Working!M47</f>
        <v/>
      </c>
      <c r="I47" s="15" t="str">
        <f>Trace_Working!O47</f>
        <v/>
      </c>
      <c r="J47" s="7"/>
      <c r="K47" s="13" t="str">
        <f>IF(Trace_Working!F47="","",IF(Trace_Working!D47="ETH","https://etherscan.io/tx/"&amp;Trace_Working!F47,IF(Trace_Working!D47="BSC","https://bscscan.com/tx/"&amp;Trace_Working!F47,IF(Trace_Working!D47="BTC","https://mempool.space/tx/"&amp;Trace_Working!F47,IF(Trace_Working!D47="TRX","https://tronscan.org/#/transaction/"&amp;Trace_Working!F47,IF(Trace_Working!D47="SOL","https://solscan.io/tx/"&amp;Trace_Working!F47,""))))))</f>
        <v/>
      </c>
    </row>
    <row r="48" spans="1:11" ht="21.95" customHeight="1" x14ac:dyDescent="0.25">
      <c r="A48" s="7">
        <f>Trace_Working!A48</f>
        <v>0</v>
      </c>
      <c r="B48" s="16">
        <f>Trace_Working!C48</f>
        <v>0</v>
      </c>
      <c r="C48" s="7">
        <f>Trace_Working!D48</f>
        <v>0</v>
      </c>
      <c r="D48" s="13" t="str">
        <f>IF(Trace_Working!F48="","",LEFT(Trace_Working!F48,10)&amp;"…" &amp;RIGHT(Trace_Working!F48,8))</f>
        <v/>
      </c>
      <c r="E48" s="13" t="str">
        <f>IF(Trace_Working!G48="","",LEFT(Trace_Working!G48,10)&amp;"…" &amp;RIGHT(Trace_Working!G48,8))</f>
        <v/>
      </c>
      <c r="F48" s="13" t="str">
        <f>IF(Trace_Working!H48="","",LEFT(Trace_Working!H48,10)&amp;"…" &amp;RIGHT(Trace_Working!H48,8))</f>
        <v/>
      </c>
      <c r="G48" s="13">
        <f>Trace_Working!I48</f>
        <v>0</v>
      </c>
      <c r="H48" s="7" t="str">
        <f>Trace_Working!M48</f>
        <v/>
      </c>
      <c r="I48" s="15" t="str">
        <f>Trace_Working!O48</f>
        <v/>
      </c>
      <c r="J48" s="7"/>
      <c r="K48" s="13" t="str">
        <f>IF(Trace_Working!F48="","",IF(Trace_Working!D48="ETH","https://etherscan.io/tx/"&amp;Trace_Working!F48,IF(Trace_Working!D48="BSC","https://bscscan.com/tx/"&amp;Trace_Working!F48,IF(Trace_Working!D48="BTC","https://mempool.space/tx/"&amp;Trace_Working!F48,IF(Trace_Working!D48="TRX","https://tronscan.org/#/transaction/"&amp;Trace_Working!F48,IF(Trace_Working!D48="SOL","https://solscan.io/tx/"&amp;Trace_Working!F48,""))))))</f>
        <v/>
      </c>
    </row>
    <row r="49" spans="1:11" ht="21.95" customHeight="1" x14ac:dyDescent="0.25">
      <c r="A49" s="7">
        <f>Trace_Working!A49</f>
        <v>0</v>
      </c>
      <c r="B49" s="16">
        <f>Trace_Working!C49</f>
        <v>0</v>
      </c>
      <c r="C49" s="7">
        <f>Trace_Working!D49</f>
        <v>0</v>
      </c>
      <c r="D49" s="13" t="str">
        <f>IF(Trace_Working!F49="","",LEFT(Trace_Working!F49,10)&amp;"…" &amp;RIGHT(Trace_Working!F49,8))</f>
        <v/>
      </c>
      <c r="E49" s="13" t="str">
        <f>IF(Trace_Working!G49="","",LEFT(Trace_Working!G49,10)&amp;"…" &amp;RIGHT(Trace_Working!G49,8))</f>
        <v/>
      </c>
      <c r="F49" s="13" t="str">
        <f>IF(Trace_Working!H49="","",LEFT(Trace_Working!H49,10)&amp;"…" &amp;RIGHT(Trace_Working!H49,8))</f>
        <v/>
      </c>
      <c r="G49" s="13">
        <f>Trace_Working!I49</f>
        <v>0</v>
      </c>
      <c r="H49" s="7" t="str">
        <f>Trace_Working!M49</f>
        <v/>
      </c>
      <c r="I49" s="15" t="str">
        <f>Trace_Working!O49</f>
        <v/>
      </c>
      <c r="J49" s="7"/>
      <c r="K49" s="13" t="str">
        <f>IF(Trace_Working!F49="","",IF(Trace_Working!D49="ETH","https://etherscan.io/tx/"&amp;Trace_Working!F49,IF(Trace_Working!D49="BSC","https://bscscan.com/tx/"&amp;Trace_Working!F49,IF(Trace_Working!D49="BTC","https://mempool.space/tx/"&amp;Trace_Working!F49,IF(Trace_Working!D49="TRX","https://tronscan.org/#/transaction/"&amp;Trace_Working!F49,IF(Trace_Working!D49="SOL","https://solscan.io/tx/"&amp;Trace_Working!F49,""))))))</f>
        <v/>
      </c>
    </row>
    <row r="50" spans="1:11" ht="21.95" customHeight="1" x14ac:dyDescent="0.25">
      <c r="A50" s="7">
        <f>Trace_Working!A50</f>
        <v>0</v>
      </c>
      <c r="B50" s="16">
        <f>Trace_Working!C50</f>
        <v>0</v>
      </c>
      <c r="C50" s="7">
        <f>Trace_Working!D50</f>
        <v>0</v>
      </c>
      <c r="D50" s="13" t="str">
        <f>IF(Trace_Working!F50="","",LEFT(Trace_Working!F50,10)&amp;"…" &amp;RIGHT(Trace_Working!F50,8))</f>
        <v/>
      </c>
      <c r="E50" s="13" t="str">
        <f>IF(Trace_Working!G50="","",LEFT(Trace_Working!G50,10)&amp;"…" &amp;RIGHT(Trace_Working!G50,8))</f>
        <v/>
      </c>
      <c r="F50" s="13" t="str">
        <f>IF(Trace_Working!H50="","",LEFT(Trace_Working!H50,10)&amp;"…" &amp;RIGHT(Trace_Working!H50,8))</f>
        <v/>
      </c>
      <c r="G50" s="13">
        <f>Trace_Working!I50</f>
        <v>0</v>
      </c>
      <c r="H50" s="7" t="str">
        <f>Trace_Working!M50</f>
        <v/>
      </c>
      <c r="I50" s="15" t="str">
        <f>Trace_Working!O50</f>
        <v/>
      </c>
      <c r="J50" s="7"/>
      <c r="K50" s="13" t="str">
        <f>IF(Trace_Working!F50="","",IF(Trace_Working!D50="ETH","https://etherscan.io/tx/"&amp;Trace_Working!F50,IF(Trace_Working!D50="BSC","https://bscscan.com/tx/"&amp;Trace_Working!F50,IF(Trace_Working!D50="BTC","https://mempool.space/tx/"&amp;Trace_Working!F50,IF(Trace_Working!D50="TRX","https://tronscan.org/#/transaction/"&amp;Trace_Working!F50,IF(Trace_Working!D50="SOL","https://solscan.io/tx/"&amp;Trace_Working!F50,""))))))</f>
        <v/>
      </c>
    </row>
    <row r="51" spans="1:11" ht="21.95" customHeight="1" x14ac:dyDescent="0.25">
      <c r="A51" s="7">
        <f>Trace_Working!A51</f>
        <v>0</v>
      </c>
      <c r="B51" s="16">
        <f>Trace_Working!C51</f>
        <v>0</v>
      </c>
      <c r="C51" s="7">
        <f>Trace_Working!D51</f>
        <v>0</v>
      </c>
      <c r="D51" s="13" t="str">
        <f>IF(Trace_Working!F51="","",LEFT(Trace_Working!F51,10)&amp;"…" &amp;RIGHT(Trace_Working!F51,8))</f>
        <v/>
      </c>
      <c r="E51" s="13" t="str">
        <f>IF(Trace_Working!G51="","",LEFT(Trace_Working!G51,10)&amp;"…" &amp;RIGHT(Trace_Working!G51,8))</f>
        <v/>
      </c>
      <c r="F51" s="13" t="str">
        <f>IF(Trace_Working!H51="","",LEFT(Trace_Working!H51,10)&amp;"…" &amp;RIGHT(Trace_Working!H51,8))</f>
        <v/>
      </c>
      <c r="G51" s="13">
        <f>Trace_Working!I51</f>
        <v>0</v>
      </c>
      <c r="H51" s="7" t="str">
        <f>Trace_Working!M51</f>
        <v/>
      </c>
      <c r="I51" s="15" t="str">
        <f>Trace_Working!O51</f>
        <v/>
      </c>
      <c r="J51" s="7"/>
      <c r="K51" s="13" t="str">
        <f>IF(Trace_Working!F51="","",IF(Trace_Working!D51="ETH","https://etherscan.io/tx/"&amp;Trace_Working!F51,IF(Trace_Working!D51="BSC","https://bscscan.com/tx/"&amp;Trace_Working!F51,IF(Trace_Working!D51="BTC","https://mempool.space/tx/"&amp;Trace_Working!F51,IF(Trace_Working!D51="TRX","https://tronscan.org/#/transaction/"&amp;Trace_Working!F51,IF(Trace_Working!D51="SOL","https://solscan.io/tx/"&amp;Trace_Working!F51,""))))))</f>
        <v/>
      </c>
    </row>
    <row r="52" spans="1:11" ht="21.95" customHeight="1" x14ac:dyDescent="0.25">
      <c r="A52" s="7">
        <f>Trace_Working!A52</f>
        <v>0</v>
      </c>
      <c r="B52" s="16">
        <f>Trace_Working!C52</f>
        <v>0</v>
      </c>
      <c r="C52" s="7">
        <f>Trace_Working!D52</f>
        <v>0</v>
      </c>
      <c r="D52" s="13" t="str">
        <f>IF(Trace_Working!F52="","",LEFT(Trace_Working!F52,10)&amp;"…" &amp;RIGHT(Trace_Working!F52,8))</f>
        <v/>
      </c>
      <c r="E52" s="13" t="str">
        <f>IF(Trace_Working!G52="","",LEFT(Trace_Working!G52,10)&amp;"…" &amp;RIGHT(Trace_Working!G52,8))</f>
        <v/>
      </c>
      <c r="F52" s="13" t="str">
        <f>IF(Trace_Working!H52="","",LEFT(Trace_Working!H52,10)&amp;"…" &amp;RIGHT(Trace_Working!H52,8))</f>
        <v/>
      </c>
      <c r="G52" s="13">
        <f>Trace_Working!I52</f>
        <v>0</v>
      </c>
      <c r="H52" s="7" t="str">
        <f>Trace_Working!M52</f>
        <v/>
      </c>
      <c r="I52" s="15" t="str">
        <f>Trace_Working!O52</f>
        <v/>
      </c>
      <c r="J52" s="7"/>
      <c r="K52" s="13" t="str">
        <f>IF(Trace_Working!F52="","",IF(Trace_Working!D52="ETH","https://etherscan.io/tx/"&amp;Trace_Working!F52,IF(Trace_Working!D52="BSC","https://bscscan.com/tx/"&amp;Trace_Working!F52,IF(Trace_Working!D52="BTC","https://mempool.space/tx/"&amp;Trace_Working!F52,IF(Trace_Working!D52="TRX","https://tronscan.org/#/transaction/"&amp;Trace_Working!F52,IF(Trace_Working!D52="SOL","https://solscan.io/tx/"&amp;Trace_Working!F52,""))))))</f>
        <v/>
      </c>
    </row>
    <row r="53" spans="1:11" ht="21.95" customHeight="1" x14ac:dyDescent="0.25">
      <c r="A53" s="7">
        <f>Trace_Working!A53</f>
        <v>0</v>
      </c>
      <c r="B53" s="16">
        <f>Trace_Working!C53</f>
        <v>0</v>
      </c>
      <c r="C53" s="7">
        <f>Trace_Working!D53</f>
        <v>0</v>
      </c>
      <c r="D53" s="13" t="str">
        <f>IF(Trace_Working!F53="","",LEFT(Trace_Working!F53,10)&amp;"…" &amp;RIGHT(Trace_Working!F53,8))</f>
        <v/>
      </c>
      <c r="E53" s="13" t="str">
        <f>IF(Trace_Working!G53="","",LEFT(Trace_Working!G53,10)&amp;"…" &amp;RIGHT(Trace_Working!G53,8))</f>
        <v/>
      </c>
      <c r="F53" s="13" t="str">
        <f>IF(Trace_Working!H53="","",LEFT(Trace_Working!H53,10)&amp;"…" &amp;RIGHT(Trace_Working!H53,8))</f>
        <v/>
      </c>
      <c r="G53" s="13">
        <f>Trace_Working!I53</f>
        <v>0</v>
      </c>
      <c r="H53" s="7" t="str">
        <f>Trace_Working!M53</f>
        <v/>
      </c>
      <c r="I53" s="15" t="str">
        <f>Trace_Working!O53</f>
        <v/>
      </c>
      <c r="J53" s="7"/>
      <c r="K53" s="13" t="str">
        <f>IF(Trace_Working!F53="","",IF(Trace_Working!D53="ETH","https://etherscan.io/tx/"&amp;Trace_Working!F53,IF(Trace_Working!D53="BSC","https://bscscan.com/tx/"&amp;Trace_Working!F53,IF(Trace_Working!D53="BTC","https://mempool.space/tx/"&amp;Trace_Working!F53,IF(Trace_Working!D53="TRX","https://tronscan.org/#/transaction/"&amp;Trace_Working!F53,IF(Trace_Working!D53="SOL","https://solscan.io/tx/"&amp;Trace_Working!F53,""))))))</f>
        <v/>
      </c>
    </row>
    <row r="54" spans="1:11" ht="21.95" customHeight="1" x14ac:dyDescent="0.25">
      <c r="A54" s="7">
        <f>Trace_Working!A54</f>
        <v>0</v>
      </c>
      <c r="B54" s="16">
        <f>Trace_Working!C54</f>
        <v>0</v>
      </c>
      <c r="C54" s="7">
        <f>Trace_Working!D54</f>
        <v>0</v>
      </c>
      <c r="D54" s="13" t="str">
        <f>IF(Trace_Working!F54="","",LEFT(Trace_Working!F54,10)&amp;"…" &amp;RIGHT(Trace_Working!F54,8))</f>
        <v/>
      </c>
      <c r="E54" s="13" t="str">
        <f>IF(Trace_Working!G54="","",LEFT(Trace_Working!G54,10)&amp;"…" &amp;RIGHT(Trace_Working!G54,8))</f>
        <v/>
      </c>
      <c r="F54" s="13" t="str">
        <f>IF(Trace_Working!H54="","",LEFT(Trace_Working!H54,10)&amp;"…" &amp;RIGHT(Trace_Working!H54,8))</f>
        <v/>
      </c>
      <c r="G54" s="13">
        <f>Trace_Working!I54</f>
        <v>0</v>
      </c>
      <c r="H54" s="7" t="str">
        <f>Trace_Working!M54</f>
        <v/>
      </c>
      <c r="I54" s="15" t="str">
        <f>Trace_Working!O54</f>
        <v/>
      </c>
      <c r="J54" s="7"/>
      <c r="K54" s="13" t="str">
        <f>IF(Trace_Working!F54="","",IF(Trace_Working!D54="ETH","https://etherscan.io/tx/"&amp;Trace_Working!F54,IF(Trace_Working!D54="BSC","https://bscscan.com/tx/"&amp;Trace_Working!F54,IF(Trace_Working!D54="BTC","https://mempool.space/tx/"&amp;Trace_Working!F54,IF(Trace_Working!D54="TRX","https://tronscan.org/#/transaction/"&amp;Trace_Working!F54,IF(Trace_Working!D54="SOL","https://solscan.io/tx/"&amp;Trace_Working!F54,""))))))</f>
        <v/>
      </c>
    </row>
    <row r="55" spans="1:11" ht="21.95" customHeight="1" x14ac:dyDescent="0.25">
      <c r="A55" s="7">
        <f>Trace_Working!A55</f>
        <v>0</v>
      </c>
      <c r="B55" s="16">
        <f>Trace_Working!C55</f>
        <v>0</v>
      </c>
      <c r="C55" s="7">
        <f>Trace_Working!D55</f>
        <v>0</v>
      </c>
      <c r="D55" s="13" t="str">
        <f>IF(Trace_Working!F55="","",LEFT(Trace_Working!F55,10)&amp;"…" &amp;RIGHT(Trace_Working!F55,8))</f>
        <v/>
      </c>
      <c r="E55" s="13" t="str">
        <f>IF(Trace_Working!G55="","",LEFT(Trace_Working!G55,10)&amp;"…" &amp;RIGHT(Trace_Working!G55,8))</f>
        <v/>
      </c>
      <c r="F55" s="13" t="str">
        <f>IF(Trace_Working!H55="","",LEFT(Trace_Working!H55,10)&amp;"…" &amp;RIGHT(Trace_Working!H55,8))</f>
        <v/>
      </c>
      <c r="G55" s="13">
        <f>Trace_Working!I55</f>
        <v>0</v>
      </c>
      <c r="H55" s="7" t="str">
        <f>Trace_Working!M55</f>
        <v/>
      </c>
      <c r="I55" s="15" t="str">
        <f>Trace_Working!O55</f>
        <v/>
      </c>
      <c r="J55" s="7"/>
      <c r="K55" s="13" t="str">
        <f>IF(Trace_Working!F55="","",IF(Trace_Working!D55="ETH","https://etherscan.io/tx/"&amp;Trace_Working!F55,IF(Trace_Working!D55="BSC","https://bscscan.com/tx/"&amp;Trace_Working!F55,IF(Trace_Working!D55="BTC","https://mempool.space/tx/"&amp;Trace_Working!F55,IF(Trace_Working!D55="TRX","https://tronscan.org/#/transaction/"&amp;Trace_Working!F55,IF(Trace_Working!D55="SOL","https://solscan.io/tx/"&amp;Trace_Working!F55,""))))))</f>
        <v/>
      </c>
    </row>
    <row r="56" spans="1:11" ht="21.95" customHeight="1" x14ac:dyDescent="0.25">
      <c r="A56" s="7">
        <f>Trace_Working!A56</f>
        <v>0</v>
      </c>
      <c r="B56" s="16">
        <f>Trace_Working!C56</f>
        <v>0</v>
      </c>
      <c r="C56" s="7">
        <f>Trace_Working!D56</f>
        <v>0</v>
      </c>
      <c r="D56" s="13" t="str">
        <f>IF(Trace_Working!F56="","",LEFT(Trace_Working!F56,10)&amp;"…" &amp;RIGHT(Trace_Working!F56,8))</f>
        <v/>
      </c>
      <c r="E56" s="13" t="str">
        <f>IF(Trace_Working!G56="","",LEFT(Trace_Working!G56,10)&amp;"…" &amp;RIGHT(Trace_Working!G56,8))</f>
        <v/>
      </c>
      <c r="F56" s="13" t="str">
        <f>IF(Trace_Working!H56="","",LEFT(Trace_Working!H56,10)&amp;"…" &amp;RIGHT(Trace_Working!H56,8))</f>
        <v/>
      </c>
      <c r="G56" s="13">
        <f>Trace_Working!I56</f>
        <v>0</v>
      </c>
      <c r="H56" s="7" t="str">
        <f>Trace_Working!M56</f>
        <v/>
      </c>
      <c r="I56" s="15" t="str">
        <f>Trace_Working!O56</f>
        <v/>
      </c>
      <c r="J56" s="7"/>
      <c r="K56" s="13" t="str">
        <f>IF(Trace_Working!F56="","",IF(Trace_Working!D56="ETH","https://etherscan.io/tx/"&amp;Trace_Working!F56,IF(Trace_Working!D56="BSC","https://bscscan.com/tx/"&amp;Trace_Working!F56,IF(Trace_Working!D56="BTC","https://mempool.space/tx/"&amp;Trace_Working!F56,IF(Trace_Working!D56="TRX","https://tronscan.org/#/transaction/"&amp;Trace_Working!F56,IF(Trace_Working!D56="SOL","https://solscan.io/tx/"&amp;Trace_Working!F56,""))))))</f>
        <v/>
      </c>
    </row>
    <row r="57" spans="1:11" ht="21.95" customHeight="1" x14ac:dyDescent="0.25">
      <c r="A57" s="7">
        <f>Trace_Working!A57</f>
        <v>0</v>
      </c>
      <c r="B57" s="16">
        <f>Trace_Working!C57</f>
        <v>0</v>
      </c>
      <c r="C57" s="7">
        <f>Trace_Working!D57</f>
        <v>0</v>
      </c>
      <c r="D57" s="13" t="str">
        <f>IF(Trace_Working!F57="","",LEFT(Trace_Working!F57,10)&amp;"…" &amp;RIGHT(Trace_Working!F57,8))</f>
        <v/>
      </c>
      <c r="E57" s="13" t="str">
        <f>IF(Trace_Working!G57="","",LEFT(Trace_Working!G57,10)&amp;"…" &amp;RIGHT(Trace_Working!G57,8))</f>
        <v/>
      </c>
      <c r="F57" s="13" t="str">
        <f>IF(Trace_Working!H57="","",LEFT(Trace_Working!H57,10)&amp;"…" &amp;RIGHT(Trace_Working!H57,8))</f>
        <v/>
      </c>
      <c r="G57" s="13">
        <f>Trace_Working!I57</f>
        <v>0</v>
      </c>
      <c r="H57" s="7" t="str">
        <f>Trace_Working!M57</f>
        <v/>
      </c>
      <c r="I57" s="15" t="str">
        <f>Trace_Working!O57</f>
        <v/>
      </c>
      <c r="J57" s="7"/>
      <c r="K57" s="13" t="str">
        <f>IF(Trace_Working!F57="","",IF(Trace_Working!D57="ETH","https://etherscan.io/tx/"&amp;Trace_Working!F57,IF(Trace_Working!D57="BSC","https://bscscan.com/tx/"&amp;Trace_Working!F57,IF(Trace_Working!D57="BTC","https://mempool.space/tx/"&amp;Trace_Working!F57,IF(Trace_Working!D57="TRX","https://tronscan.org/#/transaction/"&amp;Trace_Working!F57,IF(Trace_Working!D57="SOL","https://solscan.io/tx/"&amp;Trace_Working!F57,""))))))</f>
        <v/>
      </c>
    </row>
  </sheetData>
  <mergeCells count="1">
    <mergeCell ref="A1:K1"/>
  </mergeCells>
  <hyperlinks>
    <hyperlink ref="J2" location="Index!A1" display="Back to Index" xr:uid="{00000000-0004-0000-0700-000000000000}"/>
  </hyperlinks>
  <pageMargins left="0.3" right="0.3" top="0.5" bottom="0.5" header="0.3" footer="0.3"/>
  <pageSetup paperSize="8" fitToHeight="0" orientation="landscape"/>
  <headerFooter>
    <oddHeader>&amp;L&amp;"Calibri,Bold"&amp;10 Sheet: &amp;A&amp;C&amp;"Calibri,Bold"&amp;10 Onchain Fund Flow Workbook&amp;R&amp;"Calibri"&amp;10 Date: &amp;D</oddHeader>
    <oddFooter>&amp;L&amp;"Calibri"&amp;9 Generated: &amp;D &amp;T&amp;C&amp;"Calibri"&amp;9 Confidential&amp;R&amp;"Calibri"&amp;9 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Index</vt:lpstr>
      <vt:lpstr>Guidance</vt:lpstr>
      <vt:lpstr>ChainRegistry</vt:lpstr>
      <vt:lpstr>AssetDirectory</vt:lpstr>
      <vt:lpstr>Settings</vt:lpstr>
      <vt:lpstr>QA_ChangeLog</vt:lpstr>
      <vt:lpstr>Trace_Working</vt:lpstr>
      <vt:lpstr>Trace_Exhibit</vt:lpstr>
      <vt:lpstr>AssetDirectory!Print_Titles</vt:lpstr>
      <vt:lpstr>ChainRegistry!Print_Titles</vt:lpstr>
      <vt:lpstr>Guidance!Print_Titles</vt:lpstr>
      <vt:lpstr>Index!Print_Titles</vt:lpstr>
      <vt:lpstr>QA_ChangeLog!Print_Titles</vt:lpstr>
      <vt:lpstr>Settings!Print_Titles</vt:lpstr>
      <vt:lpstr>Trace_Exhibit!Print_Titles</vt:lpstr>
      <vt:lpstr>Trace_Working!Print_Titles</vt:lpstr>
      <vt:lpstr>ViewMode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Barclay</cp:lastModifiedBy>
  <cp:lastPrinted>2026-02-12T13:05:41Z</cp:lastPrinted>
  <dcterms:created xsi:type="dcterms:W3CDTF">2026-02-12T12:21:04Z</dcterms:created>
  <dcterms:modified xsi:type="dcterms:W3CDTF">2026-02-12T13:15:44Z</dcterms:modified>
</cp:coreProperties>
</file>