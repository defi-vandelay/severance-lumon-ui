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avid\Desktop\"/>
    </mc:Choice>
  </mc:AlternateContent>
  <xr:revisionPtr revIDLastSave="0" documentId="8_{AD55942C-D935-41F5-8AAC-7E0348E77F7B}" xr6:coauthVersionLast="47" xr6:coauthVersionMax="47" xr10:uidLastSave="{00000000-0000-0000-0000-000000000000}"/>
  <bookViews>
    <workbookView xWindow="-120" yWindow="-120" windowWidth="29040" windowHeight="15720" activeTab="4" xr2:uid="{819E39E2-9D11-41DD-B786-134D1E017CCE}"/>
  </bookViews>
  <sheets>
    <sheet name="trace" sheetId="1" r:id="rId1"/>
    <sheet name="Summary Trace" sheetId="2" r:id="rId2"/>
    <sheet name="Summary" sheetId="3" r:id="rId3"/>
    <sheet name="Trace Summary" sheetId="4" r:id="rId4"/>
    <sheet name="Cover" sheetId="5" r:id="rId5"/>
  </sheets>
  <externalReferences>
    <externalReference r:id="rId6"/>
  </externalReferences>
  <definedNames>
    <definedName name="days_in_yr">[1]Control!$G$37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calcChain.xml><?xml version="1.0" encoding="utf-8"?>
<calcChain xmlns="http://schemas.openxmlformats.org/spreadsheetml/2006/main">
  <c r="C9" i="5" l="1"/>
</calcChain>
</file>

<file path=xl/sharedStrings.xml><?xml version="1.0" encoding="utf-8"?>
<sst xmlns="http://schemas.openxmlformats.org/spreadsheetml/2006/main" count="225" uniqueCount="109">
  <si>
    <t>Ref (Step)</t>
  </si>
  <si>
    <t>Network</t>
  </si>
  <si>
    <t>Date Time (UTC)</t>
  </si>
  <si>
    <t>Tx Block #</t>
  </si>
  <si>
    <t>Method</t>
  </si>
  <si>
    <t>Amount</t>
  </si>
  <si>
    <t>Currency/Asset</t>
  </si>
  <si>
    <t>GAS</t>
  </si>
  <si>
    <t>Transaction Hash</t>
  </si>
  <si>
    <t>Transaction URL</t>
  </si>
  <si>
    <t>Document ID (Tx)</t>
  </si>
  <si>
    <t>Source Address</t>
  </si>
  <si>
    <t>Source Address URL</t>
  </si>
  <si>
    <t>Source Attribution</t>
  </si>
  <si>
    <t>Document ID (Source Attribution)</t>
  </si>
  <si>
    <t>Source Balance (Pre-State)</t>
  </si>
  <si>
    <t>Source Pre Block #</t>
  </si>
  <si>
    <t>Document ID (Source Pre-State)</t>
  </si>
  <si>
    <t>Source Balance (Post-State)</t>
  </si>
  <si>
    <t>Source Post Block #</t>
  </si>
  <si>
    <t>Document ID (Source Post-State)</t>
  </si>
  <si>
    <t>Source Delta</t>
  </si>
  <si>
    <t>Destination Address</t>
  </si>
  <si>
    <t>Destination Address URL</t>
  </si>
  <si>
    <t>Destination Attribution</t>
  </si>
  <si>
    <t>Document ID (Dest Attribution)</t>
  </si>
  <si>
    <t>Destination Balance (Pre-State)</t>
  </si>
  <si>
    <t>Destination Pre Block #</t>
  </si>
  <si>
    <t>Document ID (Dest Pre-State)</t>
  </si>
  <si>
    <t>Destination Balance (Post-State)</t>
  </si>
  <si>
    <t>Destination Post Block #</t>
  </si>
  <si>
    <t>Document ID (Dest Post-State)</t>
  </si>
  <si>
    <t>Destination Delta</t>
  </si>
  <si>
    <t>Ethereum</t>
  </si>
  <si>
    <t>Apr-19-2019 12:47:20 PM</t>
  </si>
  <si>
    <t>Transfer</t>
  </si>
  <si>
    <t>ETH</t>
  </si>
  <si>
    <t>0x369c2c02d1942623e70b3e9227b62e251f00ed3b2abee51c9a6521789747c0dc</t>
  </si>
  <si>
    <t>https://etherscan.io/tx/0x369c2c02d1942623e70b3e9227b62e251f00ed3b2abee51c9a6521789747c0dc</t>
  </si>
  <si>
    <t>0x2e9108baeaa3c759c50ad0512f7df928c4a59b08</t>
  </si>
  <si>
    <t>https://etherscan.io/address/0x2e9108baeaa3c759c50ad0512f7df928c4a59b08</t>
  </si>
  <si>
    <t>0x165a4ab4923faed0325b28d2ada0e45cc98aa9a8</t>
  </si>
  <si>
    <t>https://etherscan.io/address/0x165a4ab4923faed0325b28d2ada0e45cc98aa9a8</t>
  </si>
  <si>
    <t>Apr-22-2019 11:53:25 AM</t>
  </si>
  <si>
    <t>0x2944ed19365509621f0efa817951e05ed078943b41d5a32f9b2f0fa4df3fa426</t>
  </si>
  <si>
    <t>https://etherscan.io/tx/0x2944ed19365509621f0efa817951e05ed078943b41d5a32f9b2f0fa4df3fa426</t>
  </si>
  <si>
    <t>0x1cfc05756d5a49b4d946685bdb46aaaf8266d584</t>
  </si>
  <si>
    <t>https://etherscan.io/address/0x1cfc05756d5a49b4d946685bdb46aaaf8266d584</t>
  </si>
  <si>
    <t>Apr-22-2019 12:33:14 PM</t>
  </si>
  <si>
    <t>0x9ae2a0aa8934cb801d57c27d14eed8b5072f6ccc39554e6792542d85bb6f551b</t>
  </si>
  <si>
    <t>https://etherscan.io/tx/0x9ae2a0aa8934cb801d57c27d14eed8b5072f6ccc39554e6792542d85bb6f551b</t>
  </si>
  <si>
    <t>0x905ab27c655dac83eb91ed96bb4e4979940b9878</t>
  </si>
  <si>
    <t>https://etherscan.io/address/0x905ab27c655dac83eb91ed96bb4e4979940b9878</t>
  </si>
  <si>
    <t>Apr-22-2019 12:57:43 PM</t>
  </si>
  <si>
    <t>0x509b16ecb318ea6280db47834597c5d316ba7cac5c3bdab3a6f0a2e1a0ba9b45</t>
  </si>
  <si>
    <t>https://etherscan.io/tx/0x509b16ecb318ea6280db47834597c5d316ba7cac5c3bdab3a6f0a2e1a0ba9b45</t>
  </si>
  <si>
    <t>0xc430cb4b9f1837d3391ba4c07f95b70e6ba397a1</t>
  </si>
  <si>
    <t>https://etherscan.io/address/0xc430cb4b9f1837d3391ba4c07f95b70e6ba397a1</t>
  </si>
  <si>
    <t>Apr-22-2019 01:10:11 PM</t>
  </si>
  <si>
    <t>0x2393ddafcae9058e0fca73ffe634fca9de31118a217eb3880414f4e3b3e0b795</t>
  </si>
  <si>
    <t>https://etherscan.io/tx/0x2393ddafcae9058e0fca73ffe634fca9de31118a217eb3880414f4e3b3e0b795</t>
  </si>
  <si>
    <t>0x385143222dd56a49164fbdde0aacf168ef70432f</t>
  </si>
  <si>
    <t>https://etherscan.io/address/0x385143222dd56a49164fbdde0aacf168ef70432f</t>
  </si>
  <si>
    <t>Transaction Tracking Period</t>
  </si>
  <si>
    <t>Start</t>
  </si>
  <si>
    <t>End</t>
  </si>
  <si>
    <t>Transactions Identified</t>
  </si>
  <si>
    <t>DCE Production</t>
  </si>
  <si>
    <t>Source verification:</t>
  </si>
  <si>
    <t>NGC.001.011</t>
  </si>
  <si>
    <t>Seed Transaction</t>
  </si>
  <si>
    <t>TxHash: 0x0000000dead</t>
  </si>
  <si>
    <t>Period</t>
  </si>
  <si>
    <t>3 days</t>
  </si>
  <si>
    <t>TX Hash</t>
  </si>
  <si>
    <t>TX Ref</t>
  </si>
  <si>
    <t>TXN.001</t>
  </si>
  <si>
    <t>Amount Traced</t>
  </si>
  <si>
    <t>Asset</t>
  </si>
  <si>
    <t>On-chain Trace Overview</t>
  </si>
  <si>
    <t>Blockchains</t>
  </si>
  <si>
    <t>Type</t>
  </si>
  <si>
    <t>Document Ref</t>
  </si>
  <si>
    <t>$132,023 (Aud)</t>
  </si>
  <si>
    <t>Trace Sheet Overview</t>
  </si>
  <si>
    <t>Verified source of initial funds</t>
  </si>
  <si>
    <t xml:space="preserve">On-chain movement of funds tracked </t>
  </si>
  <si>
    <t>Verified destination of initial funds</t>
  </si>
  <si>
    <t>Summary - Investor Name</t>
  </si>
  <si>
    <t>Account Name</t>
  </si>
  <si>
    <t>Transaction ID</t>
  </si>
  <si>
    <t>From</t>
  </si>
  <si>
    <t>To</t>
  </si>
  <si>
    <t>Name</t>
  </si>
  <si>
    <t>Date</t>
  </si>
  <si>
    <t>0x0000043</t>
  </si>
  <si>
    <t>Attribution</t>
  </si>
  <si>
    <t>Document Tyoe</t>
  </si>
  <si>
    <t>Change of Custody</t>
  </si>
  <si>
    <t>End of Sheet</t>
  </si>
  <si>
    <t>Balance Change</t>
  </si>
  <si>
    <t>Example Company</t>
  </si>
  <si>
    <t xml:space="preserve">Private &amp; confidential </t>
  </si>
  <si>
    <t>Registered Office</t>
  </si>
  <si>
    <t>15 fake road</t>
  </si>
  <si>
    <t>Victoria, Australia 3214</t>
  </si>
  <si>
    <t>Model prepared with the assistance of Org Name</t>
  </si>
  <si>
    <t>10/1000 Hello Word</t>
  </si>
  <si>
    <t>Perth, Western Australia 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</si>
</sst>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0.00,,;\(#,##0.00,,\);\-\ \ "/>
    <numFmt numFmtId="169" formatCode="0.0;\(0.0\);&quot;-&quot;"/>
    <numFmt numFmtId="170" formatCode="dd\ mmmm\ yyyy"/>
  </numFmts>
  <fonts count="3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sz val="9.5"/>
      <color theme="1"/>
      <name val="Avenir Next LT Pro"/>
      <family val="2"/>
    </font>
    <font>
      <b/>
      <sz val="9.5"/>
      <color theme="1"/>
      <name val="Avenir Next LT Pro"/>
      <family val="2"/>
    </font>
    <font>
      <b/>
      <sz val="10"/>
      <color theme="1"/>
      <name val="Arial"/>
      <family val="2"/>
    </font>
    <font>
      <sz val="10"/>
      <color theme="1"/>
      <name val="Arial"/>
      <family val="2"/>
    </font>
    <font>
      <sz val="10"/>
      <color theme="0" tint="-0.499984740745262"/>
      <name val="Arial"/>
      <family val="2"/>
    </font>
    <font>
      <b/>
      <sz val="10"/>
      <color theme="0"/>
      <name val="Arial"/>
      <family val="2"/>
    </font>
    <font>
      <sz val="10"/>
      <color rgb="FF000000"/>
      <name val="Arial"/>
      <family val="2"/>
    </font>
    <font>
      <b/>
      <sz val="16"/>
      <color rgb="FF000000"/>
      <name val="Arial"/>
      <family val="2"/>
    </font>
    <font>
      <b/>
      <sz val="10"/>
      <color rgb="FFFFFFFF"/>
      <name val="Arial"/>
      <family val="2"/>
    </font>
    <font>
      <sz val="12"/>
      <color rgb="FF000000"/>
      <name val="Arial"/>
      <family val="2"/>
    </font>
    <font>
      <sz val="10"/>
      <color theme="0" tint="-0.34998626667073579"/>
      <name val="Arial"/>
      <family val="2"/>
    </font>
    <font>
      <sz val="9.5"/>
      <color theme="0" tint="-0.34998626667073579"/>
      <name val="Avenir Next LT Pro"/>
      <family val="2"/>
    </font>
    <font>
      <sz val="11"/>
      <color theme="1"/>
      <name val="Arial"/>
      <family val="2"/>
    </font>
    <font>
      <sz val="10"/>
      <name val="Arial"/>
      <family val="2"/>
    </font>
    <font>
      <b/>
      <sz val="14"/>
      <color theme="0"/>
      <name val="Arial"/>
      <family val="2"/>
    </font>
    <font>
      <sz val="11"/>
      <color theme="0"/>
      <name val="Arial"/>
      <family val="2"/>
    </font>
    <font>
      <i/>
      <sz val="11"/>
      <color theme="0"/>
      <name val="Arial"/>
      <family val="2"/>
    </font>
    <font>
      <b/>
      <sz val="11"/>
      <color theme="0"/>
      <name val="Arial"/>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3" tint="0.89999084444715716"/>
        <bgColor indexed="64"/>
      </patternFill>
    </fill>
    <fill>
      <patternFill patternType="solid">
        <fgColor theme="0"/>
        <bgColor indexed="64"/>
      </patternFill>
    </fill>
    <fill>
      <patternFill patternType="solid">
        <fgColor theme="0"/>
        <bgColor rgb="FF000000"/>
      </patternFill>
    </fill>
    <fill>
      <patternFill patternType="solid">
        <fgColor rgb="FF002060"/>
        <bgColor indexed="64"/>
      </patternFill>
    </fill>
    <fill>
      <patternFill patternType="solid">
        <fgColor theme="2" tint="-0.749992370372631"/>
        <bgColor indexed="64"/>
      </patternFill>
    </fill>
    <fill>
      <patternFill patternType="solid">
        <fgColor rgb="FF184830"/>
        <bgColor indexed="64"/>
      </patternFill>
    </fill>
    <fill>
      <patternFill patternType="solid">
        <fgColor theme="0" tint="-4.9989318521683403E-2"/>
        <bgColor indexed="64"/>
      </patternFill>
    </fill>
    <fill>
      <patternFill patternType="solid">
        <fgColor rgb="FF1C543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style="thin">
        <color rgb="FFBFBFBF"/>
      </left>
      <right style="thin">
        <color rgb="FFBFBFBF"/>
      </right>
      <top style="thin">
        <color rgb="FFBFBFBF"/>
      </top>
      <bottom style="thin">
        <color rgb="FFBFBFBF"/>
      </bottom>
      <diagonal/>
    </border>
    <border>
      <left/>
      <right/>
      <top style="thin">
        <color indexed="64"/>
      </top>
      <bottom/>
      <diagonal/>
    </border>
    <border>
      <left/>
      <right/>
      <top/>
      <bottom style="medium">
        <color rgb="FF595959"/>
      </bottom>
      <diagonal/>
    </border>
    <border>
      <left/>
      <right/>
      <top/>
      <bottom style="thin">
        <color indexed="64"/>
      </bottom>
      <diagonal/>
    </border>
    <border>
      <left/>
      <right/>
      <top style="medium">
        <color rgb="FF595959"/>
      </top>
      <bottom style="thin">
        <color indexed="64"/>
      </bottom>
      <diagonal/>
    </border>
    <border>
      <left/>
      <right/>
      <top style="thin">
        <color indexed="64"/>
      </top>
      <bottom style="medium">
        <color indexed="64"/>
      </bottom>
      <diagonal/>
    </border>
    <border>
      <left style="thin">
        <color rgb="FFBFBFBF"/>
      </left>
      <right style="thin">
        <color rgb="FFBFBFBF"/>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52">
    <xf numFmtId="0" fontId="0" fillId="0" borderId="0" xfId="0"/>
    <xf numFmtId="0" fontId="0" fillId="33" borderId="0" xfId="0" applyFill="1"/>
    <xf numFmtId="0" fontId="18" fillId="0" borderId="0" xfId="0" applyFont="1" applyAlignment="1">
      <alignment vertical="center"/>
    </xf>
    <xf numFmtId="0" fontId="16" fillId="0" borderId="0" xfId="0" applyFont="1"/>
    <xf numFmtId="0" fontId="19" fillId="0" borderId="0" xfId="0" applyFont="1"/>
    <xf numFmtId="0" fontId="20" fillId="0" borderId="0" xfId="0" applyFont="1"/>
    <xf numFmtId="0" fontId="22" fillId="0" borderId="0" xfId="0" applyFont="1" applyAlignment="1">
      <alignment vertical="center"/>
    </xf>
    <xf numFmtId="0" fontId="22" fillId="0" borderId="0" xfId="0" applyFont="1" applyAlignment="1">
      <alignment horizontal="left" vertical="center"/>
    </xf>
    <xf numFmtId="0" fontId="22" fillId="0" borderId="13" xfId="0" applyFont="1" applyBorder="1" applyAlignment="1">
      <alignment vertical="center"/>
    </xf>
    <xf numFmtId="0" fontId="21" fillId="34" borderId="10" xfId="0" applyFont="1" applyFill="1" applyBorder="1" applyAlignment="1">
      <alignment vertical="center"/>
    </xf>
    <xf numFmtId="0" fontId="21" fillId="34" borderId="11" xfId="0" applyFont="1" applyFill="1" applyBorder="1" applyAlignment="1">
      <alignment vertical="center"/>
    </xf>
    <xf numFmtId="0" fontId="22" fillId="0" borderId="0" xfId="0" applyFont="1" applyBorder="1" applyAlignment="1">
      <alignment vertical="center"/>
    </xf>
    <xf numFmtId="0" fontId="23" fillId="0" borderId="0" xfId="0" applyFont="1" applyBorder="1" applyAlignment="1">
      <alignment horizontal="center" vertical="center"/>
    </xf>
    <xf numFmtId="0" fontId="0" fillId="0" borderId="0" xfId="0" applyBorder="1"/>
    <xf numFmtId="0" fontId="19" fillId="35" borderId="0" xfId="0" applyFont="1" applyFill="1"/>
    <xf numFmtId="0" fontId="21" fillId="35" borderId="0" xfId="0" applyFont="1" applyFill="1" applyBorder="1" applyAlignment="1">
      <alignment vertical="center"/>
    </xf>
    <xf numFmtId="0" fontId="25" fillId="0" borderId="14" xfId="0" applyFont="1" applyBorder="1" applyAlignment="1">
      <alignment vertical="center"/>
    </xf>
    <xf numFmtId="0" fontId="26" fillId="0" borderId="0" xfId="0" applyFont="1" applyAlignment="1">
      <alignment vertical="center"/>
    </xf>
    <xf numFmtId="0" fontId="25" fillId="0" borderId="0" xfId="0" applyFont="1" applyAlignment="1">
      <alignment vertical="center"/>
    </xf>
    <xf numFmtId="0" fontId="28" fillId="0" borderId="0" xfId="0" applyFont="1" applyAlignment="1">
      <alignment vertical="center"/>
    </xf>
    <xf numFmtId="0" fontId="25" fillId="0" borderId="16" xfId="0" applyFont="1" applyBorder="1" applyAlignment="1">
      <alignment vertical="center"/>
    </xf>
    <xf numFmtId="0" fontId="0" fillId="0" borderId="15" xfId="0" applyBorder="1"/>
    <xf numFmtId="0" fontId="29" fillId="0" borderId="12" xfId="0" applyNumberFormat="1" applyFont="1" applyBorder="1" applyAlignment="1">
      <alignment horizontal="right" vertical="center"/>
    </xf>
    <xf numFmtId="166" fontId="29" fillId="0" borderId="12" xfId="0" applyNumberFormat="1" applyFont="1" applyBorder="1" applyAlignment="1">
      <alignment horizontal="right" vertical="center"/>
    </xf>
    <xf numFmtId="0" fontId="29" fillId="0" borderId="13" xfId="0" applyFont="1" applyBorder="1" applyAlignment="1">
      <alignment horizontal="center" vertical="center"/>
    </xf>
    <xf numFmtId="0" fontId="30" fillId="0" borderId="0" xfId="0" applyFont="1"/>
    <xf numFmtId="0" fontId="21" fillId="37" borderId="11" xfId="0" applyFont="1" applyFill="1" applyBorder="1" applyAlignment="1">
      <alignment vertical="center"/>
    </xf>
    <xf numFmtId="0" fontId="24" fillId="37" borderId="11" xfId="0" applyFont="1" applyFill="1" applyBorder="1" applyAlignment="1">
      <alignment vertical="center"/>
    </xf>
    <xf numFmtId="0" fontId="24" fillId="37" borderId="10" xfId="0" applyFont="1" applyFill="1" applyBorder="1" applyAlignment="1">
      <alignment horizontal="left" vertical="center" indent="1"/>
    </xf>
    <xf numFmtId="0" fontId="22" fillId="35" borderId="0" xfId="0" applyFont="1" applyFill="1" applyBorder="1" applyAlignment="1">
      <alignment vertical="center"/>
    </xf>
    <xf numFmtId="0" fontId="22" fillId="35" borderId="0" xfId="0" applyFont="1" applyFill="1" applyBorder="1" applyAlignment="1">
      <alignment horizontal="left" vertical="center"/>
    </xf>
    <xf numFmtId="0" fontId="20" fillId="35" borderId="0" xfId="0" applyFont="1" applyFill="1" applyBorder="1"/>
    <xf numFmtId="0" fontId="27" fillId="36" borderId="0" xfId="0" applyFont="1" applyFill="1" applyAlignment="1">
      <alignment horizontal="center" vertical="center"/>
    </xf>
    <xf numFmtId="0" fontId="24" fillId="37" borderId="0" xfId="0" applyFont="1" applyFill="1" applyBorder="1" applyAlignment="1">
      <alignment horizontal="left" vertical="center" indent="1"/>
    </xf>
    <xf numFmtId="0" fontId="0" fillId="38" borderId="0" xfId="0" applyFill="1"/>
    <xf numFmtId="0" fontId="20" fillId="0" borderId="17" xfId="0" applyFont="1" applyBorder="1"/>
    <xf numFmtId="166" fontId="29" fillId="0" borderId="18" xfId="0" applyNumberFormat="1" applyFont="1" applyBorder="1" applyAlignment="1">
      <alignment horizontal="right" vertical="center"/>
    </xf>
    <xf numFmtId="0" fontId="17" fillId="37" borderId="0" xfId="0" applyFont="1" applyFill="1"/>
    <xf numFmtId="0" fontId="31" fillId="0" borderId="0" xfId="0" applyFont="1"/>
    <xf numFmtId="0" fontId="22" fillId="0" borderId="0" xfId="0" applyFont="1"/>
    <xf numFmtId="0" fontId="32" fillId="39" borderId="0" xfId="0" applyFont="1" applyFill="1"/>
    <xf numFmtId="169" fontId="32" fillId="39" borderId="0" xfId="0" applyNumberFormat="1" applyFont="1" applyFill="1" applyAlignment="1">
      <alignment horizontal="center"/>
    </xf>
    <xf numFmtId="0" fontId="31" fillId="39" borderId="0" xfId="0" applyFont="1" applyFill="1"/>
    <xf numFmtId="0" fontId="31" fillId="40" borderId="0" xfId="0" applyFont="1" applyFill="1"/>
    <xf numFmtId="169" fontId="32" fillId="35" borderId="0" xfId="0" applyNumberFormat="1" applyFont="1" applyFill="1" applyAlignment="1">
      <alignment horizontal="center"/>
    </xf>
    <xf numFmtId="0" fontId="33" fillId="39" borderId="0" xfId="0" applyFont="1" applyFill="1"/>
    <xf numFmtId="0" fontId="34" fillId="41" borderId="0" xfId="0" applyFont="1" applyFill="1"/>
    <xf numFmtId="0" fontId="33" fillId="41" borderId="0" xfId="0" applyFont="1" applyFill="1"/>
    <xf numFmtId="170" fontId="34" fillId="41" borderId="0" xfId="0" applyNumberFormat="1" applyFont="1" applyFill="1" applyAlignment="1">
      <alignment horizontal="left"/>
    </xf>
    <xf numFmtId="49" fontId="35" fillId="41" borderId="0" xfId="0" applyNumberFormat="1" applyFont="1" applyFill="1"/>
    <xf numFmtId="0" fontId="36" fillId="41" borderId="0" xfId="0" applyFont="1" applyFill="1"/>
    <xf numFmtId="0" fontId="31" fillId="41"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3" xfId="42" xr:uid="{077FEE8C-84C0-4F89-946B-0A851DDB2F6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36230</xdr:colOff>
      <xdr:row>1</xdr:row>
      <xdr:rowOff>0</xdr:rowOff>
    </xdr:from>
    <xdr:to>
      <xdr:col>23</xdr:col>
      <xdr:colOff>523875</xdr:colOff>
      <xdr:row>39</xdr:row>
      <xdr:rowOff>0</xdr:rowOff>
    </xdr:to>
    <xdr:sp macro="" textlink="">
      <xdr:nvSpPr>
        <xdr:cNvPr id="2" name="Text Box 1">
          <a:extLst>
            <a:ext uri="{FF2B5EF4-FFF2-40B4-BE49-F238E27FC236}">
              <a16:creationId xmlns:a16="http://schemas.microsoft.com/office/drawing/2014/main" id="{331F40DE-F1C2-47F1-B066-5A335BC31D1D}"/>
            </a:ext>
          </a:extLst>
        </xdr:cNvPr>
        <xdr:cNvSpPr txBox="1">
          <a:spLocks noChangeArrowheads="1"/>
        </xdr:cNvSpPr>
      </xdr:nvSpPr>
      <xdr:spPr bwMode="auto">
        <a:xfrm>
          <a:off x="7684805" y="180975"/>
          <a:ext cx="9926920" cy="7019925"/>
        </a:xfrm>
        <a:prstGeom prst="rect">
          <a:avLst/>
        </a:prstGeom>
        <a:noFill/>
        <a:ln w="9525">
          <a:noFill/>
          <a:miter lim="800000"/>
          <a:headEnd/>
          <a:tailEnd/>
        </a:ln>
      </xdr:spPr>
      <xdr:txBody>
        <a:bodyPr vertOverflow="clip" wrap="square" lIns="27432" tIns="22860" rIns="0" bIns="0" anchor="ctr" upright="1"/>
        <a:lstStyle/>
        <a:p>
          <a:pPr hangingPunct="0"/>
          <a:r>
            <a:rPr lang="en-AU" sz="1800" b="1" cap="all">
              <a:latin typeface="Arial" panose="020B0604020202020204" pitchFamily="34" charset="0"/>
              <a:ea typeface="+mn-ea"/>
              <a:cs typeface="Arial" panose="020B0604020202020204" pitchFamily="34" charset="0"/>
            </a:rPr>
            <a:t>Important Notice and Disclaimer </a:t>
          </a:r>
          <a:r>
            <a:rPr lang="en-AU" sz="1800" b="1" cap="all">
              <a:solidFill>
                <a:srgbClr val="FF0000"/>
              </a:solidFill>
              <a:latin typeface="Arial" panose="020B0604020202020204" pitchFamily="34" charset="0"/>
              <a:ea typeface="+mn-ea"/>
              <a:cs typeface="Arial" panose="020B0604020202020204" pitchFamily="34" charset="0"/>
            </a:rPr>
            <a:t>[To be reviewed]</a:t>
          </a:r>
        </a:p>
        <a:p>
          <a:endParaRPr lang="en-AU" sz="1050">
            <a:effectLst/>
            <a:latin typeface="Arial" panose="020B0604020202020204" pitchFamily="34" charset="0"/>
            <a:ea typeface="+mn-ea"/>
            <a:cs typeface="Arial" panose="020B0604020202020204" pitchFamily="34" charset="0"/>
          </a:endParaRPr>
        </a:p>
        <a:p>
          <a:r>
            <a:rPr lang="en-AU" sz="1050">
              <a:effectLst/>
              <a:latin typeface="Arial" panose="020B0604020202020204" pitchFamily="34" charset="0"/>
              <a:ea typeface="+mn-ea"/>
              <a:cs typeface="Arial" panose="020B0604020202020204" pitchFamily="34" charset="0"/>
            </a:rPr>
            <a:t>This financial model (“Model”) has been provided by Org and "Company" to an interested party (“Recipient”) on the basis that by using and retaining this Model, the Recipient understands and agrees:</a:t>
          </a:r>
          <a:endParaRPr lang="en-AU" sz="1050" baseline="0">
            <a:effectLst/>
            <a:latin typeface="Arial" panose="020B0604020202020204" pitchFamily="34" charset="0"/>
            <a:ea typeface="+mn-ea"/>
            <a:cs typeface="Arial" panose="020B0604020202020204" pitchFamily="34" charset="0"/>
          </a:endParaRPr>
        </a:p>
        <a:p>
          <a:r>
            <a:rPr lang="en-AU" sz="1050">
              <a:effectLst/>
              <a:latin typeface="Arial" panose="020B0604020202020204" pitchFamily="34" charset="0"/>
              <a:ea typeface="+mn-ea"/>
              <a:cs typeface="Arial" panose="020B0604020202020204" pitchFamily="34" charset="0"/>
            </a:rPr>
            <a:t>(a)</a:t>
          </a:r>
          <a:r>
            <a:rPr lang="en-AU" sz="1050" baseline="0">
              <a:effectLst/>
              <a:latin typeface="Arial" panose="020B0604020202020204" pitchFamily="34" charset="0"/>
              <a:ea typeface="+mn-ea"/>
              <a:cs typeface="Arial" panose="020B0604020202020204" pitchFamily="34" charset="0"/>
            </a:rPr>
            <a:t> </a:t>
          </a:r>
          <a:r>
            <a:rPr lang="en-AU" sz="1050">
              <a:effectLst/>
              <a:latin typeface="Arial" panose="020B0604020202020204" pitchFamily="34" charset="0"/>
              <a:ea typeface="+mn-ea"/>
              <a:cs typeface="Arial" panose="020B0604020202020204" pitchFamily="34" charset="0"/>
            </a:rPr>
            <a:t>it is aware of and understands the contents of this Important Notice and Disclaimer ("Notice");</a:t>
          </a:r>
        </a:p>
        <a:p>
          <a:r>
            <a:rPr lang="en-AU" sz="1050">
              <a:effectLst/>
              <a:latin typeface="Arial" panose="020B0604020202020204" pitchFamily="34" charset="0"/>
              <a:ea typeface="+mn-ea"/>
              <a:cs typeface="Arial" panose="020B0604020202020204" pitchFamily="34" charset="0"/>
            </a:rPr>
            <a:t>(b)</a:t>
          </a:r>
          <a:r>
            <a:rPr lang="en-AU" sz="1050" baseline="0">
              <a:effectLst/>
              <a:latin typeface="Arial" panose="020B0604020202020204" pitchFamily="34" charset="0"/>
              <a:ea typeface="+mn-ea"/>
              <a:cs typeface="Arial" panose="020B0604020202020204" pitchFamily="34" charset="0"/>
            </a:rPr>
            <a:t> </a:t>
          </a:r>
          <a:r>
            <a:rPr lang="en-AU" sz="1050">
              <a:effectLst/>
              <a:latin typeface="Arial" panose="020B0604020202020204" pitchFamily="34" charset="0"/>
              <a:ea typeface="+mn-ea"/>
              <a:cs typeface="Arial" panose="020B0604020202020204" pitchFamily="34" charset="0"/>
            </a:rPr>
            <a:t>to abide by the terms and conditions of this Notice; and</a:t>
          </a:r>
        </a:p>
        <a:p>
          <a:r>
            <a:rPr lang="en-AU" sz="1050">
              <a:effectLst/>
              <a:latin typeface="Arial" panose="020B0604020202020204" pitchFamily="34" charset="0"/>
              <a:ea typeface="+mn-ea"/>
              <a:cs typeface="Arial" panose="020B0604020202020204" pitchFamily="34" charset="0"/>
            </a:rPr>
            <a:t>(c)</a:t>
          </a:r>
          <a:r>
            <a:rPr lang="en-AU" sz="1050" baseline="0">
              <a:effectLst/>
              <a:latin typeface="Arial" panose="020B0604020202020204" pitchFamily="34" charset="0"/>
              <a:ea typeface="+mn-ea"/>
              <a:cs typeface="Arial" panose="020B0604020202020204" pitchFamily="34" charset="0"/>
            </a:rPr>
            <a:t> </a:t>
          </a:r>
          <a:r>
            <a:rPr lang="en-AU" sz="1050">
              <a:effectLst/>
              <a:latin typeface="Arial" panose="020B0604020202020204" pitchFamily="34" charset="0"/>
              <a:ea typeface="+mn-ea"/>
              <a:cs typeface="Arial" panose="020B0604020202020204" pitchFamily="34" charset="0"/>
            </a:rPr>
            <a:t>it makes the representations and warranties contained in this Notice.</a:t>
          </a:r>
        </a:p>
        <a:p>
          <a:r>
            <a:rPr lang="en-AU" sz="1050">
              <a:effectLst/>
              <a:latin typeface="Arial" panose="020B0604020202020204" pitchFamily="34" charset="0"/>
              <a:ea typeface="+mn-ea"/>
              <a:cs typeface="Arial" panose="020B0604020202020204" pitchFamily="34" charset="0"/>
            </a:rPr>
            <a:t> </a:t>
          </a:r>
        </a:p>
        <a:p>
          <a:r>
            <a:rPr lang="en-AU" sz="1050">
              <a:effectLst/>
              <a:latin typeface="Arial" panose="020B0604020202020204" pitchFamily="34" charset="0"/>
              <a:ea typeface="+mn-ea"/>
              <a:cs typeface="Arial" panose="020B0604020202020204" pitchFamily="34" charset="0"/>
            </a:rPr>
            <a:t>1.  The Model and all inputs (including data, assumptions and statements) and outputs (including results, data, estimates and forecasts) (together, the “Information”) is provided on the basis that it is strictly private and confidential, pursuant to the Confidentiality Agreement </a:t>
          </a: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a:p>
          <a:endParaRPr lang="en-AU" sz="1050">
            <a:effectLst/>
            <a:latin typeface="Arial" panose="020B0604020202020204" pitchFamily="34" charset="0"/>
            <a:ea typeface="+mn-ea"/>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avid\Desktop\Financial%20Model%20Excel%20Ben%20Examples\250229%20-%20Project%202R%20-%20Financial%20Model_v5.2.xlsb" TargetMode="External"/><Relationship Id="rId1" Type="http://schemas.openxmlformats.org/officeDocument/2006/relationships/externalLinkPath" Target="Financial%20Model%20Excel%20Ben%20Examples/250229%20-%20Project%202R%20-%20Financial%20Model_v5.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Summary"/>
      <sheetName val="Sensitivies"/>
      <sheetName val="Asm"/>
      <sheetName val="TVAsm"/>
      <sheetName val="Operations"/>
      <sheetName val="Funding"/>
      <sheetName val="Control"/>
    </sheetNames>
    <sheetDataSet>
      <sheetData sheetId="0"/>
      <sheetData sheetId="1"/>
      <sheetData sheetId="2"/>
      <sheetData sheetId="3"/>
      <sheetData sheetId="4"/>
      <sheetData sheetId="5"/>
      <sheetData sheetId="6"/>
      <sheetData sheetId="7">
        <row r="37">
          <cell r="G37">
            <v>365.25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2732-19FA-40BD-9A3C-E76AA286874A}">
  <dimension ref="A1:AG6"/>
  <sheetViews>
    <sheetView workbookViewId="0">
      <selection activeCell="I22" sqref="I22"/>
    </sheetView>
  </sheetViews>
  <sheetFormatPr defaultRowHeight="15" x14ac:dyDescent="0.25"/>
  <cols>
    <col min="1" max="2" width="9.28515625" bestFit="1" customWidth="1"/>
    <col min="3" max="3" width="22.5703125" bestFit="1" customWidth="1"/>
    <col min="4" max="4" width="9.5703125" bestFit="1" customWidth="1"/>
    <col min="5" max="5" width="8.28515625" bestFit="1" customWidth="1"/>
    <col min="6" max="6" width="11" bestFit="1" customWidth="1"/>
    <col min="7" max="7" width="14.28515625" bestFit="1" customWidth="1"/>
    <col min="8" max="8" width="9" bestFit="1" customWidth="1"/>
    <col min="9" max="9" width="71.28515625" bestFit="1" customWidth="1"/>
    <col min="10" max="10" width="92.28515625" bestFit="1" customWidth="1"/>
    <col min="11" max="11" width="16.140625" bestFit="1" customWidth="1"/>
    <col min="12" max="12" width="45.42578125" bestFit="1" customWidth="1"/>
    <col min="13" max="13" width="72.42578125" bestFit="1" customWidth="1"/>
    <col min="14" max="14" width="16.85546875" bestFit="1" customWidth="1"/>
    <col min="15" max="15" width="30.5703125" bestFit="1" customWidth="1"/>
    <col min="16" max="16" width="24.7109375" bestFit="1" customWidth="1"/>
    <col min="17" max="17" width="17.28515625" bestFit="1" customWidth="1"/>
    <col min="18" max="18" width="29" bestFit="1" customWidth="1"/>
    <col min="19" max="19" width="25.85546875" bestFit="1" customWidth="1"/>
    <col min="20" max="20" width="18.28515625" bestFit="1" customWidth="1"/>
    <col min="21" max="21" width="30.140625" bestFit="1" customWidth="1"/>
    <col min="22" max="22" width="12" bestFit="1" customWidth="1"/>
    <col min="23" max="23" width="45.42578125" bestFit="1" customWidth="1"/>
    <col min="24" max="24" width="72.42578125" bestFit="1" customWidth="1"/>
    <col min="25" max="25" width="21.140625" bestFit="1" customWidth="1"/>
    <col min="26" max="26" width="28.28515625" bestFit="1" customWidth="1"/>
    <col min="27" max="27" width="29" bestFit="1" customWidth="1"/>
    <col min="28" max="28" width="21.5703125" bestFit="1" customWidth="1"/>
    <col min="29" max="29" width="26.85546875" bestFit="1" customWidth="1"/>
    <col min="30" max="30" width="30.140625" bestFit="1" customWidth="1"/>
    <col min="31" max="31" width="22.5703125" bestFit="1" customWidth="1"/>
    <col min="32" max="32" width="27.85546875" bestFit="1" customWidth="1"/>
    <col min="33" max="33" width="16.285156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v>0</v>
      </c>
      <c r="B2" t="s">
        <v>33</v>
      </c>
      <c r="C2" t="s">
        <v>34</v>
      </c>
      <c r="D2">
        <v>7598242</v>
      </c>
      <c r="E2" t="s">
        <v>35</v>
      </c>
      <c r="F2">
        <v>624.99855900374996</v>
      </c>
      <c r="G2" t="s">
        <v>36</v>
      </c>
      <c r="H2">
        <v>4.4099999999999999E-4</v>
      </c>
      <c r="I2" t="s">
        <v>37</v>
      </c>
      <c r="J2" t="s">
        <v>38</v>
      </c>
      <c r="L2" t="s">
        <v>39</v>
      </c>
      <c r="M2" t="s">
        <v>40</v>
      </c>
      <c r="P2">
        <v>624.99900000374998</v>
      </c>
      <c r="Q2">
        <v>7598241</v>
      </c>
      <c r="S2">
        <v>0</v>
      </c>
      <c r="T2">
        <v>7598242</v>
      </c>
      <c r="V2">
        <v>-624.99900000000002</v>
      </c>
      <c r="W2" t="s">
        <v>41</v>
      </c>
      <c r="X2" t="s">
        <v>42</v>
      </c>
      <c r="AA2">
        <v>0</v>
      </c>
      <c r="AB2">
        <v>7598241</v>
      </c>
      <c r="AD2">
        <v>624.99855900374996</v>
      </c>
      <c r="AE2">
        <v>7598242</v>
      </c>
      <c r="AG2">
        <v>624.998559</v>
      </c>
    </row>
    <row r="3" spans="1:33" x14ac:dyDescent="0.25">
      <c r="A3">
        <v>1</v>
      </c>
      <c r="B3" t="s">
        <v>33</v>
      </c>
      <c r="C3" t="s">
        <v>43</v>
      </c>
      <c r="D3">
        <v>7617250</v>
      </c>
      <c r="E3" t="s">
        <v>35</v>
      </c>
      <c r="F3">
        <v>20</v>
      </c>
      <c r="G3" t="s">
        <v>36</v>
      </c>
      <c r="H3">
        <v>2.0790000000000001E-3</v>
      </c>
      <c r="I3" t="s">
        <v>44</v>
      </c>
      <c r="J3" t="s">
        <v>45</v>
      </c>
      <c r="L3" t="s">
        <v>41</v>
      </c>
      <c r="M3" t="s">
        <v>42</v>
      </c>
      <c r="P3">
        <v>624.99855900374996</v>
      </c>
      <c r="Q3">
        <v>7617249</v>
      </c>
      <c r="S3">
        <v>604.99648000374998</v>
      </c>
      <c r="T3">
        <v>7617250</v>
      </c>
      <c r="V3">
        <v>-20.002078999999998</v>
      </c>
      <c r="W3" t="s">
        <v>46</v>
      </c>
      <c r="X3" t="s">
        <v>47</v>
      </c>
      <c r="AA3">
        <v>0</v>
      </c>
      <c r="AB3">
        <v>7617249</v>
      </c>
      <c r="AD3">
        <v>20</v>
      </c>
      <c r="AE3">
        <v>7617250</v>
      </c>
      <c r="AG3">
        <v>20</v>
      </c>
    </row>
    <row r="4" spans="1:33" x14ac:dyDescent="0.25">
      <c r="A4">
        <v>1</v>
      </c>
      <c r="B4" t="s">
        <v>33</v>
      </c>
      <c r="C4" t="s">
        <v>48</v>
      </c>
      <c r="D4">
        <v>7617433</v>
      </c>
      <c r="E4" t="s">
        <v>35</v>
      </c>
      <c r="F4">
        <v>60</v>
      </c>
      <c r="G4" t="s">
        <v>36</v>
      </c>
      <c r="H4">
        <v>2.0790000000000001E-3</v>
      </c>
      <c r="I4" t="s">
        <v>49</v>
      </c>
      <c r="J4" t="s">
        <v>50</v>
      </c>
      <c r="L4" t="s">
        <v>41</v>
      </c>
      <c r="M4" t="s">
        <v>42</v>
      </c>
      <c r="P4">
        <v>604.99648000374998</v>
      </c>
      <c r="Q4">
        <v>7617432</v>
      </c>
      <c r="S4">
        <v>544.99440100375</v>
      </c>
      <c r="T4">
        <v>7617433</v>
      </c>
      <c r="V4">
        <v>-60.002079000000002</v>
      </c>
      <c r="W4" t="s">
        <v>51</v>
      </c>
      <c r="X4" t="s">
        <v>52</v>
      </c>
      <c r="AA4">
        <v>0</v>
      </c>
      <c r="AB4">
        <v>7617432</v>
      </c>
      <c r="AD4">
        <v>60</v>
      </c>
      <c r="AE4">
        <v>7617433</v>
      </c>
      <c r="AG4">
        <v>60</v>
      </c>
    </row>
    <row r="5" spans="1:33" x14ac:dyDescent="0.25">
      <c r="A5">
        <v>1</v>
      </c>
      <c r="B5" t="s">
        <v>33</v>
      </c>
      <c r="C5" t="s">
        <v>53</v>
      </c>
      <c r="D5">
        <v>7617555</v>
      </c>
      <c r="E5" t="s">
        <v>35</v>
      </c>
      <c r="F5">
        <v>60</v>
      </c>
      <c r="G5" t="s">
        <v>36</v>
      </c>
      <c r="H5">
        <v>4.2000000000000002E-4</v>
      </c>
      <c r="I5" t="s">
        <v>54</v>
      </c>
      <c r="J5" t="s">
        <v>55</v>
      </c>
      <c r="L5" t="s">
        <v>41</v>
      </c>
      <c r="M5" t="s">
        <v>42</v>
      </c>
      <c r="P5">
        <v>544.99440100375</v>
      </c>
      <c r="Q5">
        <v>7617554</v>
      </c>
      <c r="S5">
        <v>484.99398100374998</v>
      </c>
      <c r="T5">
        <v>7617555</v>
      </c>
      <c r="V5">
        <v>-60.000419999999998</v>
      </c>
      <c r="W5" t="s">
        <v>56</v>
      </c>
      <c r="X5" t="s">
        <v>57</v>
      </c>
      <c r="AA5">
        <v>0</v>
      </c>
      <c r="AB5">
        <v>7617554</v>
      </c>
      <c r="AD5">
        <v>60</v>
      </c>
      <c r="AE5">
        <v>7617555</v>
      </c>
      <c r="AG5">
        <v>60</v>
      </c>
    </row>
    <row r="6" spans="1:33" x14ac:dyDescent="0.25">
      <c r="A6">
        <v>1</v>
      </c>
      <c r="B6" t="s">
        <v>33</v>
      </c>
      <c r="C6" t="s">
        <v>58</v>
      </c>
      <c r="D6">
        <v>7617607</v>
      </c>
      <c r="E6" t="s">
        <v>35</v>
      </c>
      <c r="F6">
        <v>60</v>
      </c>
      <c r="G6" t="s">
        <v>36</v>
      </c>
      <c r="H6">
        <v>4.2000000000000002E-4</v>
      </c>
      <c r="I6" t="s">
        <v>59</v>
      </c>
      <c r="J6" t="s">
        <v>60</v>
      </c>
      <c r="L6" t="s">
        <v>41</v>
      </c>
      <c r="M6" t="s">
        <v>42</v>
      </c>
      <c r="P6">
        <v>484.99398100374998</v>
      </c>
      <c r="Q6">
        <v>7617606</v>
      </c>
      <c r="S6">
        <v>424.99356100375002</v>
      </c>
      <c r="T6">
        <v>7617607</v>
      </c>
      <c r="V6">
        <v>-60.000419999999998</v>
      </c>
      <c r="W6" t="s">
        <v>61</v>
      </c>
      <c r="X6" t="s">
        <v>62</v>
      </c>
      <c r="AA6">
        <v>0</v>
      </c>
      <c r="AB6">
        <v>7617606</v>
      </c>
      <c r="AD6">
        <v>60</v>
      </c>
      <c r="AE6">
        <v>7617607</v>
      </c>
      <c r="AG6">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6C1B2-682D-45A8-BC42-57DF7500E846}">
  <dimension ref="A1:I27"/>
  <sheetViews>
    <sheetView showGridLines="0" zoomScale="80" zoomScaleNormal="80" workbookViewId="0">
      <selection activeCell="C31" sqref="C31"/>
    </sheetView>
  </sheetViews>
  <sheetFormatPr defaultRowHeight="15" x14ac:dyDescent="0.25"/>
  <cols>
    <col min="1" max="1" width="1.85546875" customWidth="1"/>
    <col min="2" max="2" width="21.5703125" customWidth="1"/>
    <col min="3" max="3" width="30.5703125" customWidth="1"/>
    <col min="4" max="4" width="4.28515625" customWidth="1"/>
    <col min="5" max="5" width="26.85546875" customWidth="1"/>
    <col min="6" max="6" width="28" customWidth="1"/>
    <col min="7" max="7" width="2.5703125" customWidth="1"/>
    <col min="8" max="8" width="24.85546875" customWidth="1"/>
    <col min="9" max="9" width="33.28515625" customWidth="1"/>
    <col min="10" max="10" width="92.28515625" customWidth="1"/>
    <col min="11" max="11" width="16.140625" bestFit="1" customWidth="1"/>
    <col min="12" max="12" width="45.42578125" bestFit="1" customWidth="1"/>
    <col min="13" max="13" width="72.42578125" bestFit="1" customWidth="1"/>
    <col min="14" max="14" width="16.85546875" bestFit="1" customWidth="1"/>
    <col min="15" max="15" width="30.5703125" bestFit="1" customWidth="1"/>
    <col min="16" max="16" width="24.7109375" bestFit="1" customWidth="1"/>
    <col min="17" max="17" width="17.28515625" bestFit="1" customWidth="1"/>
    <col min="18" max="18" width="29" bestFit="1" customWidth="1"/>
    <col min="19" max="19" width="25.85546875" bestFit="1" customWidth="1"/>
    <col min="20" max="20" width="18.28515625" bestFit="1" customWidth="1"/>
    <col min="21" max="21" width="30.140625" bestFit="1" customWidth="1"/>
    <col min="22" max="22" width="12" bestFit="1" customWidth="1"/>
    <col min="23" max="23" width="45.42578125" bestFit="1" customWidth="1"/>
    <col min="24" max="24" width="72.42578125" bestFit="1" customWidth="1"/>
    <col min="25" max="25" width="21.140625" bestFit="1" customWidth="1"/>
    <col min="26" max="26" width="28.28515625" bestFit="1" customWidth="1"/>
    <col min="27" max="27" width="29" bestFit="1" customWidth="1"/>
    <col min="28" max="28" width="21.5703125" bestFit="1" customWidth="1"/>
    <col min="29" max="29" width="26.85546875" bestFit="1" customWidth="1"/>
    <col min="30" max="30" width="30.140625" bestFit="1" customWidth="1"/>
    <col min="31" max="31" width="22.5703125" bestFit="1" customWidth="1"/>
    <col min="32" max="32" width="27.85546875" bestFit="1" customWidth="1"/>
    <col min="33" max="33" width="16.28515625" bestFit="1" customWidth="1"/>
  </cols>
  <sheetData>
    <row r="1" spans="1:9" ht="6.95" customHeight="1" thickBot="1" x14ac:dyDescent="0.3">
      <c r="B1" s="16"/>
      <c r="C1" s="16"/>
      <c r="D1" s="16"/>
      <c r="E1" s="16"/>
      <c r="F1" s="16"/>
      <c r="G1" s="16"/>
      <c r="H1" s="16"/>
      <c r="I1" s="16"/>
    </row>
    <row r="2" spans="1:9" s="13" customFormat="1" ht="4.3499999999999996" customHeight="1" x14ac:dyDescent="0.25">
      <c r="A2" s="21"/>
      <c r="B2" s="20"/>
      <c r="C2" s="20"/>
      <c r="D2" s="20"/>
      <c r="E2" s="20"/>
      <c r="F2" s="20"/>
      <c r="G2" s="20"/>
      <c r="H2" s="20"/>
      <c r="I2" s="20"/>
    </row>
    <row r="3" spans="1:9" ht="21.75" customHeight="1" x14ac:dyDescent="0.25">
      <c r="B3" s="17" t="s">
        <v>84</v>
      </c>
      <c r="C3" s="17"/>
      <c r="D3" s="18"/>
      <c r="E3" s="18"/>
      <c r="F3" s="18"/>
      <c r="G3" s="32"/>
      <c r="H3" s="18"/>
      <c r="I3" s="18"/>
    </row>
    <row r="4" spans="1:9" x14ac:dyDescent="0.25">
      <c r="B4" s="19" t="s">
        <v>88</v>
      </c>
      <c r="C4" s="19"/>
      <c r="D4" s="18"/>
      <c r="E4" s="18"/>
      <c r="F4" s="18"/>
      <c r="G4" s="18"/>
      <c r="H4" s="18"/>
      <c r="I4" s="18"/>
    </row>
    <row r="5" spans="1:9" ht="13.5" customHeight="1" thickBot="1" x14ac:dyDescent="0.3">
      <c r="B5" s="18"/>
      <c r="C5" s="18"/>
      <c r="D5" s="18"/>
      <c r="E5" s="18"/>
      <c r="F5" s="18"/>
      <c r="G5" s="18"/>
      <c r="H5" s="18"/>
      <c r="I5" s="18"/>
    </row>
    <row r="6" spans="1:9" s="13" customFormat="1" ht="4.3499999999999996" customHeight="1" x14ac:dyDescent="0.25">
      <c r="A6" s="21"/>
      <c r="B6" s="20"/>
      <c r="C6" s="20"/>
      <c r="D6" s="20"/>
      <c r="E6" s="20"/>
      <c r="F6" s="20"/>
      <c r="G6" s="20"/>
      <c r="H6" s="20"/>
      <c r="I6" s="20"/>
    </row>
    <row r="7" spans="1:9" x14ac:dyDescent="0.25">
      <c r="B7" s="18"/>
      <c r="C7" s="18"/>
      <c r="D7" s="18"/>
      <c r="E7" s="18"/>
      <c r="F7" s="18"/>
      <c r="G7" s="18"/>
      <c r="H7" s="18"/>
      <c r="I7" s="18"/>
    </row>
    <row r="8" spans="1:9" x14ac:dyDescent="0.25">
      <c r="B8" s="28" t="s">
        <v>85</v>
      </c>
      <c r="C8" s="33"/>
      <c r="D8" s="18"/>
      <c r="E8" s="28" t="s">
        <v>86</v>
      </c>
      <c r="F8" s="27"/>
      <c r="G8" s="18"/>
      <c r="H8" s="28" t="s">
        <v>87</v>
      </c>
      <c r="I8" s="26"/>
    </row>
    <row r="9" spans="1:9" x14ac:dyDescent="0.25">
      <c r="B9" s="18"/>
      <c r="C9" s="18"/>
      <c r="D9" s="18"/>
      <c r="E9" s="18"/>
      <c r="F9" s="18"/>
      <c r="G9" s="18"/>
      <c r="H9" s="18"/>
      <c r="I9" s="18"/>
    </row>
    <row r="10" spans="1:9" x14ac:dyDescent="0.25">
      <c r="A10" s="2"/>
      <c r="B10" s="9" t="s">
        <v>68</v>
      </c>
      <c r="C10" s="10"/>
      <c r="D10" s="4"/>
      <c r="E10" s="9" t="s">
        <v>70</v>
      </c>
      <c r="F10" s="10"/>
      <c r="G10" s="13"/>
      <c r="H10" s="9" t="s">
        <v>24</v>
      </c>
      <c r="I10" s="10"/>
    </row>
    <row r="11" spans="1:9" x14ac:dyDescent="0.25">
      <c r="A11" s="2"/>
      <c r="B11" s="6" t="s">
        <v>81</v>
      </c>
      <c r="C11" s="6" t="s">
        <v>67</v>
      </c>
      <c r="D11" s="4"/>
      <c r="E11" s="5" t="s">
        <v>74</v>
      </c>
      <c r="F11" s="22" t="s">
        <v>71</v>
      </c>
      <c r="G11" s="13"/>
      <c r="H11" s="6" t="s">
        <v>81</v>
      </c>
      <c r="I11" s="22" t="s">
        <v>67</v>
      </c>
    </row>
    <row r="12" spans="1:9" x14ac:dyDescent="0.25">
      <c r="A12" s="2"/>
      <c r="B12" s="7"/>
      <c r="C12" s="7"/>
      <c r="D12" s="4"/>
      <c r="E12" s="5" t="s">
        <v>75</v>
      </c>
      <c r="F12" s="22" t="s">
        <v>76</v>
      </c>
      <c r="G12" s="11"/>
      <c r="H12" s="7" t="s">
        <v>82</v>
      </c>
      <c r="I12" s="22" t="s">
        <v>69</v>
      </c>
    </row>
    <row r="13" spans="1:9" x14ac:dyDescent="0.25">
      <c r="B13" s="9" t="s">
        <v>89</v>
      </c>
      <c r="C13" s="10" t="s">
        <v>93</v>
      </c>
      <c r="D13" s="4"/>
      <c r="E13" s="4"/>
      <c r="F13" s="4"/>
    </row>
    <row r="14" spans="1:9" x14ac:dyDescent="0.25">
      <c r="A14" s="3"/>
      <c r="B14" s="6" t="s">
        <v>90</v>
      </c>
      <c r="C14" s="6"/>
      <c r="D14" s="14"/>
      <c r="E14" s="9" t="s">
        <v>63</v>
      </c>
      <c r="F14" s="10"/>
    </row>
    <row r="15" spans="1:9" x14ac:dyDescent="0.25">
      <c r="A15" s="3"/>
      <c r="B15" s="29"/>
      <c r="C15" s="29"/>
      <c r="D15" s="4"/>
      <c r="E15" s="6" t="s">
        <v>64</v>
      </c>
      <c r="F15" s="23"/>
    </row>
    <row r="16" spans="1:9" x14ac:dyDescent="0.25">
      <c r="A16" s="3"/>
      <c r="B16" s="29" t="s">
        <v>91</v>
      </c>
      <c r="C16" s="30"/>
      <c r="D16" s="4"/>
      <c r="E16" s="7" t="s">
        <v>65</v>
      </c>
      <c r="F16" s="23"/>
    </row>
    <row r="17" spans="1:9" x14ac:dyDescent="0.25">
      <c r="A17" s="3"/>
      <c r="B17" s="29" t="s">
        <v>5</v>
      </c>
      <c r="C17" s="29"/>
      <c r="D17" s="4"/>
      <c r="E17" s="8" t="s">
        <v>72</v>
      </c>
      <c r="F17" s="24" t="s">
        <v>73</v>
      </c>
    </row>
    <row r="18" spans="1:9" x14ac:dyDescent="0.25">
      <c r="A18" s="3"/>
      <c r="B18" s="29" t="s">
        <v>78</v>
      </c>
      <c r="C18" s="29"/>
      <c r="D18" s="4"/>
      <c r="E18" s="11"/>
      <c r="F18" s="12"/>
    </row>
    <row r="19" spans="1:9" x14ac:dyDescent="0.25">
      <c r="B19" s="29" t="s">
        <v>94</v>
      </c>
      <c r="C19" s="15"/>
      <c r="D19" s="4"/>
      <c r="E19" s="9" t="s">
        <v>79</v>
      </c>
      <c r="F19" s="10"/>
    </row>
    <row r="20" spans="1:9" x14ac:dyDescent="0.25">
      <c r="B20" s="29"/>
      <c r="C20" s="15"/>
      <c r="D20" s="4"/>
      <c r="E20" s="5" t="s">
        <v>33</v>
      </c>
      <c r="F20" s="22">
        <v>1</v>
      </c>
    </row>
    <row r="21" spans="1:9" x14ac:dyDescent="0.25">
      <c r="B21" s="31"/>
      <c r="C21" s="31"/>
      <c r="D21" s="4"/>
      <c r="E21" s="5" t="s">
        <v>80</v>
      </c>
      <c r="F21" s="22">
        <v>1</v>
      </c>
    </row>
    <row r="22" spans="1:9" x14ac:dyDescent="0.25">
      <c r="B22" s="29" t="s">
        <v>92</v>
      </c>
      <c r="C22" s="31" t="s">
        <v>95</v>
      </c>
      <c r="D22" s="4"/>
      <c r="E22" s="5" t="s">
        <v>66</v>
      </c>
      <c r="F22" s="22">
        <v>8</v>
      </c>
    </row>
    <row r="23" spans="1:9" x14ac:dyDescent="0.25">
      <c r="B23" s="30" t="s">
        <v>96</v>
      </c>
      <c r="C23" s="31"/>
      <c r="D23" s="4"/>
      <c r="E23" s="5"/>
      <c r="F23" s="25"/>
    </row>
    <row r="24" spans="1:9" ht="15.75" thickBot="1" x14ac:dyDescent="0.3">
      <c r="B24" s="31" t="s">
        <v>97</v>
      </c>
      <c r="C24" s="31"/>
      <c r="D24" s="4"/>
      <c r="E24" s="35" t="s">
        <v>77</v>
      </c>
      <c r="F24" s="36" t="s">
        <v>83</v>
      </c>
    </row>
    <row r="25" spans="1:9" x14ac:dyDescent="0.25">
      <c r="B25" s="31" t="s">
        <v>98</v>
      </c>
      <c r="C25" s="31"/>
      <c r="D25" s="4"/>
      <c r="E25" s="4"/>
      <c r="F25" s="4"/>
    </row>
    <row r="26" spans="1:9" x14ac:dyDescent="0.25">
      <c r="B26" s="5"/>
      <c r="C26" s="5"/>
    </row>
    <row r="27" spans="1:9" x14ac:dyDescent="0.25">
      <c r="A27" s="34"/>
      <c r="B27" s="34" t="s">
        <v>99</v>
      </c>
      <c r="C27" s="34"/>
      <c r="D27" s="34"/>
      <c r="E27" s="34"/>
      <c r="F27" s="34"/>
      <c r="G27" s="34"/>
      <c r="H27" s="34"/>
      <c r="I27"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0005-DE63-4B6C-8CA0-5385719FE0D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9A420-7A1F-483F-894B-25444459F96D}">
  <dimension ref="A1:AG9"/>
  <sheetViews>
    <sheetView workbookViewId="0">
      <selection activeCell="A9" sqref="A9"/>
    </sheetView>
  </sheetViews>
  <sheetFormatPr defaultRowHeight="15" x14ac:dyDescent="0.25"/>
  <cols>
    <col min="1" max="1" width="9.28515625" bestFit="1" customWidth="1"/>
    <col min="2" max="2" width="9.28515625" hidden="1" customWidth="1"/>
    <col min="3" max="3" width="22.5703125" bestFit="1" customWidth="1"/>
    <col min="4" max="4" width="9.5703125" hidden="1" customWidth="1"/>
    <col min="5" max="5" width="8.28515625" bestFit="1" customWidth="1"/>
    <col min="6" max="6" width="11" bestFit="1" customWidth="1"/>
    <col min="7" max="7" width="6.5703125" customWidth="1"/>
    <col min="8" max="8" width="9" hidden="1" customWidth="1"/>
    <col min="9" max="9" width="21" hidden="1" customWidth="1"/>
    <col min="10" max="10" width="92.28515625" hidden="1" customWidth="1"/>
    <col min="11" max="11" width="16.140625" hidden="1" customWidth="1"/>
    <col min="12" max="12" width="45.42578125" bestFit="1" customWidth="1"/>
    <col min="13" max="13" width="72.42578125" hidden="1" customWidth="1"/>
    <col min="14" max="14" width="16.85546875" hidden="1" customWidth="1"/>
    <col min="15" max="15" width="30.5703125" hidden="1" customWidth="1"/>
    <col min="16" max="16" width="24.7109375" hidden="1" customWidth="1"/>
    <col min="17" max="17" width="17.28515625" hidden="1" customWidth="1"/>
    <col min="18" max="18" width="29" hidden="1" customWidth="1"/>
    <col min="19" max="19" width="25.85546875" hidden="1" customWidth="1"/>
    <col min="20" max="20" width="18.28515625" hidden="1" customWidth="1"/>
    <col min="21" max="21" width="30.140625" hidden="1" customWidth="1"/>
    <col min="22" max="22" width="14.42578125" customWidth="1"/>
    <col min="23" max="23" width="45.42578125" bestFit="1" customWidth="1"/>
    <col min="24" max="24" width="72.42578125" hidden="1" customWidth="1"/>
    <col min="25" max="25" width="21.140625" hidden="1" customWidth="1"/>
    <col min="26" max="26" width="28.28515625" hidden="1" customWidth="1"/>
    <col min="27" max="27" width="29" hidden="1" customWidth="1"/>
    <col min="28" max="28" width="21.5703125" hidden="1" customWidth="1"/>
    <col min="29" max="29" width="26.85546875" hidden="1" customWidth="1"/>
    <col min="30" max="30" width="30.140625" hidden="1" customWidth="1"/>
    <col min="31" max="31" width="22.5703125" hidden="1" customWidth="1"/>
    <col min="32" max="32" width="27.85546875" hidden="1" customWidth="1"/>
    <col min="33" max="33" width="16.28515625" bestFit="1" customWidth="1"/>
  </cols>
  <sheetData>
    <row r="1" spans="1:33" x14ac:dyDescent="0.25">
      <c r="A1" s="37" t="s">
        <v>0</v>
      </c>
      <c r="B1" s="37" t="s">
        <v>1</v>
      </c>
      <c r="C1" s="37" t="s">
        <v>2</v>
      </c>
      <c r="D1" s="37" t="s">
        <v>3</v>
      </c>
      <c r="E1" s="37"/>
      <c r="F1" s="37" t="s">
        <v>5</v>
      </c>
      <c r="G1" s="37"/>
      <c r="H1" s="37" t="s">
        <v>7</v>
      </c>
      <c r="I1" s="37" t="s">
        <v>8</v>
      </c>
      <c r="J1" s="37" t="s">
        <v>9</v>
      </c>
      <c r="K1" s="37" t="s">
        <v>10</v>
      </c>
      <c r="L1" s="37" t="s">
        <v>91</v>
      </c>
      <c r="M1" s="37" t="s">
        <v>12</v>
      </c>
      <c r="N1" s="37" t="s">
        <v>13</v>
      </c>
      <c r="O1" s="37" t="s">
        <v>14</v>
      </c>
      <c r="P1" s="37" t="s">
        <v>15</v>
      </c>
      <c r="Q1" s="37" t="s">
        <v>16</v>
      </c>
      <c r="R1" s="37" t="s">
        <v>17</v>
      </c>
      <c r="S1" s="37" t="s">
        <v>18</v>
      </c>
      <c r="T1" s="37" t="s">
        <v>19</v>
      </c>
      <c r="U1" s="37" t="s">
        <v>20</v>
      </c>
      <c r="V1" s="37" t="s">
        <v>100</v>
      </c>
      <c r="W1" s="37" t="s">
        <v>92</v>
      </c>
      <c r="X1" s="37" t="s">
        <v>23</v>
      </c>
      <c r="Y1" s="37" t="s">
        <v>24</v>
      </c>
      <c r="Z1" s="37" t="s">
        <v>25</v>
      </c>
      <c r="AA1" s="37" t="s">
        <v>26</v>
      </c>
      <c r="AB1" s="37" t="s">
        <v>27</v>
      </c>
      <c r="AC1" s="37" t="s">
        <v>28</v>
      </c>
      <c r="AD1" s="37" t="s">
        <v>29</v>
      </c>
      <c r="AE1" s="37" t="s">
        <v>30</v>
      </c>
      <c r="AF1" s="37" t="s">
        <v>31</v>
      </c>
      <c r="AG1" s="37" t="s">
        <v>100</v>
      </c>
    </row>
    <row r="2" spans="1:33" x14ac:dyDescent="0.25">
      <c r="A2">
        <v>0</v>
      </c>
      <c r="B2" t="s">
        <v>33</v>
      </c>
      <c r="C2" t="s">
        <v>34</v>
      </c>
      <c r="D2">
        <v>7598242</v>
      </c>
      <c r="E2" t="s">
        <v>35</v>
      </c>
      <c r="F2">
        <v>624.99855900374996</v>
      </c>
      <c r="G2" t="s">
        <v>36</v>
      </c>
      <c r="H2">
        <v>4.4099999999999999E-4</v>
      </c>
      <c r="I2" t="s">
        <v>37</v>
      </c>
      <c r="J2" t="s">
        <v>38</v>
      </c>
      <c r="L2" t="s">
        <v>39</v>
      </c>
      <c r="M2" t="s">
        <v>40</v>
      </c>
      <c r="P2">
        <v>624.99900000374998</v>
      </c>
      <c r="Q2">
        <v>7598241</v>
      </c>
      <c r="S2">
        <v>0</v>
      </c>
      <c r="T2">
        <v>7598242</v>
      </c>
      <c r="V2">
        <v>-624.99900000000002</v>
      </c>
      <c r="W2" t="s">
        <v>41</v>
      </c>
      <c r="X2" t="s">
        <v>42</v>
      </c>
      <c r="AA2">
        <v>0</v>
      </c>
      <c r="AB2">
        <v>7598241</v>
      </c>
      <c r="AD2">
        <v>624.99855900374996</v>
      </c>
      <c r="AE2">
        <v>7598242</v>
      </c>
      <c r="AG2">
        <v>624.998559</v>
      </c>
    </row>
    <row r="3" spans="1:33" ht="7.5" customHeight="1" x14ac:dyDescent="0.25"/>
    <row r="4" spans="1:33" x14ac:dyDescent="0.25">
      <c r="A4">
        <v>1</v>
      </c>
      <c r="B4" t="s">
        <v>33</v>
      </c>
      <c r="C4" t="s">
        <v>43</v>
      </c>
      <c r="D4">
        <v>7617250</v>
      </c>
      <c r="E4" t="s">
        <v>35</v>
      </c>
      <c r="F4">
        <v>20</v>
      </c>
      <c r="G4" t="s">
        <v>36</v>
      </c>
      <c r="H4">
        <v>2.0790000000000001E-3</v>
      </c>
      <c r="I4" t="s">
        <v>44</v>
      </c>
      <c r="J4" t="s">
        <v>45</v>
      </c>
      <c r="L4" t="s">
        <v>41</v>
      </c>
      <c r="M4" t="s">
        <v>42</v>
      </c>
      <c r="P4">
        <v>624.99855900374996</v>
      </c>
      <c r="Q4">
        <v>7617249</v>
      </c>
      <c r="S4">
        <v>604.99648000374998</v>
      </c>
      <c r="T4">
        <v>7617250</v>
      </c>
      <c r="V4">
        <v>-20.002078999999998</v>
      </c>
      <c r="W4" t="s">
        <v>46</v>
      </c>
      <c r="X4" t="s">
        <v>47</v>
      </c>
      <c r="AA4">
        <v>0</v>
      </c>
      <c r="AB4">
        <v>7617249</v>
      </c>
      <c r="AD4">
        <v>20</v>
      </c>
      <c r="AE4">
        <v>7617250</v>
      </c>
      <c r="AG4">
        <v>20</v>
      </c>
    </row>
    <row r="5" spans="1:33" x14ac:dyDescent="0.25">
      <c r="A5">
        <v>1</v>
      </c>
      <c r="B5" t="s">
        <v>33</v>
      </c>
      <c r="C5" t="s">
        <v>48</v>
      </c>
      <c r="D5">
        <v>7617433</v>
      </c>
      <c r="E5" t="s">
        <v>35</v>
      </c>
      <c r="F5">
        <v>60</v>
      </c>
      <c r="G5" t="s">
        <v>36</v>
      </c>
      <c r="H5">
        <v>2.0790000000000001E-3</v>
      </c>
      <c r="I5" t="s">
        <v>49</v>
      </c>
      <c r="J5" t="s">
        <v>50</v>
      </c>
      <c r="L5" t="s">
        <v>41</v>
      </c>
      <c r="M5" t="s">
        <v>42</v>
      </c>
      <c r="P5">
        <v>604.99648000374998</v>
      </c>
      <c r="Q5">
        <v>7617432</v>
      </c>
      <c r="S5">
        <v>544.99440100375</v>
      </c>
      <c r="T5">
        <v>7617433</v>
      </c>
      <c r="V5">
        <v>-60.002079000000002</v>
      </c>
      <c r="W5" t="s">
        <v>51</v>
      </c>
      <c r="X5" t="s">
        <v>52</v>
      </c>
      <c r="AA5">
        <v>0</v>
      </c>
      <c r="AB5">
        <v>7617432</v>
      </c>
      <c r="AD5">
        <v>60</v>
      </c>
      <c r="AE5">
        <v>7617433</v>
      </c>
      <c r="AG5">
        <v>60</v>
      </c>
    </row>
    <row r="6" spans="1:33" x14ac:dyDescent="0.25">
      <c r="A6">
        <v>1</v>
      </c>
      <c r="B6" t="s">
        <v>33</v>
      </c>
      <c r="C6" t="s">
        <v>53</v>
      </c>
      <c r="D6">
        <v>7617555</v>
      </c>
      <c r="E6" t="s">
        <v>35</v>
      </c>
      <c r="F6">
        <v>60</v>
      </c>
      <c r="G6" t="s">
        <v>36</v>
      </c>
      <c r="H6">
        <v>4.2000000000000002E-4</v>
      </c>
      <c r="I6" t="s">
        <v>54</v>
      </c>
      <c r="J6" t="s">
        <v>55</v>
      </c>
      <c r="L6" t="s">
        <v>41</v>
      </c>
      <c r="M6" t="s">
        <v>42</v>
      </c>
      <c r="P6">
        <v>544.99440100375</v>
      </c>
      <c r="Q6">
        <v>7617554</v>
      </c>
      <c r="S6">
        <v>484.99398100374998</v>
      </c>
      <c r="T6">
        <v>7617555</v>
      </c>
      <c r="V6">
        <v>-60.000419999999998</v>
      </c>
      <c r="W6" t="s">
        <v>56</v>
      </c>
      <c r="X6" t="s">
        <v>57</v>
      </c>
      <c r="AA6">
        <v>0</v>
      </c>
      <c r="AB6">
        <v>7617554</v>
      </c>
      <c r="AD6">
        <v>60</v>
      </c>
      <c r="AE6">
        <v>7617555</v>
      </c>
      <c r="AG6">
        <v>60</v>
      </c>
    </row>
    <row r="7" spans="1:33" x14ac:dyDescent="0.25">
      <c r="A7">
        <v>1</v>
      </c>
      <c r="B7" t="s">
        <v>33</v>
      </c>
      <c r="C7" t="s">
        <v>58</v>
      </c>
      <c r="D7">
        <v>7617607</v>
      </c>
      <c r="E7" t="s">
        <v>35</v>
      </c>
      <c r="F7">
        <v>60</v>
      </c>
      <c r="G7" t="s">
        <v>36</v>
      </c>
      <c r="H7">
        <v>4.2000000000000002E-4</v>
      </c>
      <c r="I7" t="s">
        <v>59</v>
      </c>
      <c r="J7" t="s">
        <v>60</v>
      </c>
      <c r="L7" t="s">
        <v>41</v>
      </c>
      <c r="M7" t="s">
        <v>42</v>
      </c>
      <c r="P7">
        <v>484.99398100374998</v>
      </c>
      <c r="Q7">
        <v>7617606</v>
      </c>
      <c r="S7">
        <v>424.99356100375002</v>
      </c>
      <c r="T7">
        <v>7617607</v>
      </c>
      <c r="V7">
        <v>-60.000419999999998</v>
      </c>
      <c r="W7" t="s">
        <v>61</v>
      </c>
      <c r="X7" t="s">
        <v>62</v>
      </c>
      <c r="AA7">
        <v>0</v>
      </c>
      <c r="AB7">
        <v>7617606</v>
      </c>
      <c r="AD7">
        <v>60</v>
      </c>
      <c r="AE7">
        <v>7617607</v>
      </c>
      <c r="AG7">
        <v>60</v>
      </c>
    </row>
    <row r="8" spans="1:33" ht="7.5" customHeight="1" x14ac:dyDescent="0.25"/>
    <row r="9" spans="1:33" x14ac:dyDescent="0.25">
      <c r="A9">
        <v>1</v>
      </c>
      <c r="B9" t="s">
        <v>33</v>
      </c>
      <c r="C9" t="s">
        <v>58</v>
      </c>
      <c r="D9">
        <v>7617607</v>
      </c>
      <c r="E9" t="s">
        <v>35</v>
      </c>
      <c r="F9">
        <v>60</v>
      </c>
      <c r="G9" t="s">
        <v>36</v>
      </c>
      <c r="H9">
        <v>4.2000000000000002E-4</v>
      </c>
      <c r="I9" t="s">
        <v>59</v>
      </c>
      <c r="J9" t="s">
        <v>60</v>
      </c>
      <c r="L9" t="s">
        <v>41</v>
      </c>
      <c r="M9" t="s">
        <v>42</v>
      </c>
      <c r="P9">
        <v>484.99398100374998</v>
      </c>
      <c r="Q9">
        <v>7617606</v>
      </c>
      <c r="S9">
        <v>424.99356100375002</v>
      </c>
      <c r="T9">
        <v>7617607</v>
      </c>
      <c r="V9">
        <v>-60.000419999999998</v>
      </c>
      <c r="W9" t="s">
        <v>61</v>
      </c>
      <c r="X9" t="s">
        <v>62</v>
      </c>
      <c r="AA9">
        <v>0</v>
      </c>
      <c r="AB9">
        <v>7617606</v>
      </c>
      <c r="AD9">
        <v>60</v>
      </c>
      <c r="AE9">
        <v>7617607</v>
      </c>
      <c r="AG9">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E0B8-6875-4CE1-A01C-C59BF14F2CC4}">
  <dimension ref="A1:XFC40"/>
  <sheetViews>
    <sheetView showGridLines="0" tabSelected="1" zoomScale="80" zoomScaleNormal="80" workbookViewId="0">
      <selection activeCell="D15" sqref="D15"/>
    </sheetView>
  </sheetViews>
  <sheetFormatPr defaultColWidth="0" defaultRowHeight="12.75" customHeight="1" zeroHeight="1" x14ac:dyDescent="0.2"/>
  <cols>
    <col min="1" max="1" width="2.7109375" style="39" customWidth="1"/>
    <col min="2" max="2" width="4" style="39" customWidth="1"/>
    <col min="3" max="3" width="32.7109375" style="39" customWidth="1"/>
    <col min="4" max="4" width="38.7109375" style="39" customWidth="1"/>
    <col min="5" max="8" width="9.140625" style="39" customWidth="1"/>
    <col min="9" max="9" width="4.5703125" style="39" customWidth="1"/>
    <col min="10" max="19" width="9.140625" style="39" customWidth="1"/>
    <col min="20" max="20" width="9" style="39" customWidth="1"/>
    <col min="21" max="21" width="16" style="39" customWidth="1"/>
    <col min="22" max="24" width="10.28515625" style="39" customWidth="1"/>
    <col min="25" max="25" width="2.7109375" style="39" customWidth="1"/>
    <col min="26" max="16383" width="9.140625" style="39" hidden="1"/>
    <col min="16384" max="16384" width="22.7109375" style="39" hidden="1"/>
  </cols>
  <sheetData>
    <row r="1" spans="1:24" ht="14.25" x14ac:dyDescent="0.2">
      <c r="A1" s="38"/>
      <c r="B1" s="38"/>
      <c r="C1" s="38"/>
      <c r="D1" s="38"/>
      <c r="E1" s="38"/>
      <c r="F1" s="38"/>
      <c r="G1" s="38"/>
      <c r="H1" s="38"/>
      <c r="I1" s="38"/>
      <c r="J1" s="38"/>
      <c r="K1" s="38"/>
      <c r="L1" s="38"/>
      <c r="M1" s="38"/>
      <c r="N1" s="38"/>
      <c r="O1" s="38"/>
      <c r="P1" s="38"/>
      <c r="Q1" s="38"/>
      <c r="R1" s="38"/>
      <c r="S1" s="38"/>
      <c r="T1" s="38"/>
      <c r="U1" s="38"/>
      <c r="V1" s="38"/>
      <c r="W1" s="38"/>
      <c r="X1" s="38"/>
    </row>
    <row r="2" spans="1:24" ht="14.25" x14ac:dyDescent="0.2">
      <c r="A2" s="40"/>
      <c r="B2" s="40"/>
      <c r="C2" s="41"/>
      <c r="D2" s="42"/>
      <c r="E2" s="42"/>
      <c r="F2" s="42"/>
      <c r="G2" s="42"/>
      <c r="H2" s="42"/>
      <c r="I2" s="43"/>
      <c r="J2" s="43"/>
      <c r="K2" s="43"/>
      <c r="L2" s="43"/>
      <c r="M2" s="43"/>
      <c r="N2" s="43"/>
      <c r="O2" s="43"/>
      <c r="P2" s="43"/>
      <c r="Q2" s="43"/>
      <c r="R2" s="43"/>
      <c r="S2" s="43"/>
      <c r="T2" s="43"/>
      <c r="U2" s="43"/>
      <c r="V2" s="43"/>
      <c r="W2" s="43"/>
      <c r="X2" s="43"/>
    </row>
    <row r="3" spans="1:24" ht="18" x14ac:dyDescent="0.25">
      <c r="A3" s="40"/>
      <c r="B3" s="40"/>
      <c r="C3" s="44"/>
      <c r="D3" s="45"/>
      <c r="E3" s="42"/>
      <c r="F3" s="42"/>
      <c r="G3" s="42"/>
      <c r="H3" s="42"/>
      <c r="I3" s="43"/>
      <c r="J3" s="43"/>
      <c r="K3" s="43"/>
      <c r="L3" s="43"/>
      <c r="M3" s="43"/>
      <c r="N3" s="43"/>
      <c r="O3" s="43"/>
      <c r="P3" s="43"/>
      <c r="Q3" s="43"/>
      <c r="R3" s="43"/>
      <c r="S3" s="43"/>
      <c r="T3" s="43"/>
      <c r="U3" s="43"/>
      <c r="V3" s="43"/>
      <c r="W3" s="43"/>
      <c r="X3" s="43"/>
    </row>
    <row r="4" spans="1:24" ht="14.25" x14ac:dyDescent="0.2">
      <c r="A4" s="40"/>
      <c r="B4" s="40"/>
      <c r="C4" s="44"/>
      <c r="D4" s="42"/>
      <c r="E4" s="42"/>
      <c r="F4" s="42"/>
      <c r="G4" s="42"/>
      <c r="H4" s="42"/>
      <c r="I4" s="43"/>
      <c r="J4" s="43"/>
      <c r="K4" s="43"/>
      <c r="L4" s="43"/>
      <c r="M4" s="43"/>
      <c r="N4" s="43"/>
      <c r="O4" s="43"/>
      <c r="P4" s="43"/>
      <c r="Q4" s="43"/>
      <c r="R4" s="43"/>
      <c r="S4" s="43"/>
      <c r="T4" s="43"/>
      <c r="U4" s="43"/>
      <c r="V4" s="43"/>
      <c r="W4" s="43"/>
      <c r="X4" s="43"/>
    </row>
    <row r="5" spans="1:24" ht="14.25" x14ac:dyDescent="0.2">
      <c r="A5" s="40"/>
      <c r="B5" s="40"/>
      <c r="C5" s="44"/>
      <c r="D5" s="42"/>
      <c r="E5" s="42"/>
      <c r="F5" s="42"/>
      <c r="G5" s="42"/>
      <c r="H5" s="42"/>
      <c r="I5" s="43"/>
      <c r="J5" s="43"/>
      <c r="K5" s="43"/>
      <c r="L5" s="43"/>
      <c r="M5" s="43"/>
      <c r="N5" s="43"/>
      <c r="O5" s="43"/>
      <c r="P5" s="43"/>
      <c r="Q5" s="43"/>
      <c r="R5" s="43"/>
      <c r="S5" s="43"/>
      <c r="T5" s="43"/>
      <c r="U5" s="43"/>
      <c r="V5" s="43"/>
      <c r="W5" s="43"/>
      <c r="X5" s="43"/>
    </row>
    <row r="6" spans="1:24" ht="14.25" x14ac:dyDescent="0.2">
      <c r="A6" s="42"/>
      <c r="B6" s="42"/>
      <c r="C6" s="41"/>
      <c r="D6" s="41"/>
      <c r="E6" s="42"/>
      <c r="F6" s="42"/>
      <c r="G6" s="42"/>
      <c r="H6" s="42"/>
      <c r="I6" s="43"/>
      <c r="J6" s="43"/>
      <c r="K6" s="43"/>
      <c r="L6" s="43"/>
      <c r="M6" s="43"/>
      <c r="N6" s="43"/>
      <c r="O6" s="43"/>
      <c r="P6" s="43"/>
      <c r="Q6" s="43"/>
      <c r="R6" s="43"/>
      <c r="S6" s="43"/>
      <c r="T6" s="43"/>
      <c r="U6" s="43"/>
      <c r="V6" s="43"/>
      <c r="W6" s="43"/>
      <c r="X6" s="43"/>
    </row>
    <row r="7" spans="1:24" ht="14.25" x14ac:dyDescent="0.2">
      <c r="A7" s="46"/>
      <c r="B7" s="46"/>
      <c r="C7" s="46"/>
      <c r="D7" s="46"/>
      <c r="E7" s="46"/>
      <c r="F7" s="46"/>
      <c r="G7" s="46"/>
      <c r="H7" s="46"/>
      <c r="I7" s="43"/>
      <c r="J7" s="43"/>
      <c r="K7" s="43"/>
      <c r="L7" s="43"/>
      <c r="M7" s="43"/>
      <c r="N7" s="43"/>
      <c r="O7" s="43"/>
      <c r="P7" s="43"/>
      <c r="Q7" s="43"/>
      <c r="R7" s="43"/>
      <c r="S7" s="43"/>
      <c r="T7" s="43"/>
      <c r="U7" s="43"/>
      <c r="V7" s="43"/>
      <c r="W7" s="43"/>
      <c r="X7" s="43"/>
    </row>
    <row r="8" spans="1:24" ht="18" x14ac:dyDescent="0.25">
      <c r="A8" s="46"/>
      <c r="B8" s="46"/>
      <c r="C8" s="47" t="s">
        <v>101</v>
      </c>
      <c r="D8" s="46"/>
      <c r="E8" s="46"/>
      <c r="F8" s="46"/>
      <c r="G8" s="46"/>
      <c r="H8" s="46"/>
      <c r="I8" s="43"/>
      <c r="J8" s="43"/>
      <c r="K8" s="43"/>
      <c r="L8" s="43"/>
      <c r="M8" s="43"/>
      <c r="N8" s="43"/>
      <c r="O8" s="43"/>
      <c r="P8" s="43"/>
      <c r="Q8" s="43"/>
      <c r="R8" s="43"/>
      <c r="S8" s="43"/>
      <c r="T8" s="43"/>
      <c r="U8" s="43"/>
      <c r="V8" s="43"/>
      <c r="W8" s="43"/>
      <c r="X8" s="43"/>
    </row>
    <row r="9" spans="1:24" ht="14.25" x14ac:dyDescent="0.2">
      <c r="A9" s="46"/>
      <c r="B9" s="46"/>
      <c r="C9" s="48" t="str">
        <f ca="1">"Project 2R - Financial Model - "&amp;TEXT(TODAY(),"mmmm yyyy")</f>
        <v>Project 2R - Financial Model - January 2026</v>
      </c>
      <c r="D9" s="46"/>
      <c r="E9" s="46"/>
      <c r="F9" s="46"/>
      <c r="G9" s="46"/>
      <c r="H9" s="46"/>
      <c r="I9" s="43"/>
      <c r="J9" s="43"/>
      <c r="K9" s="43"/>
      <c r="L9" s="43"/>
      <c r="M9" s="43"/>
      <c r="N9" s="43"/>
      <c r="O9" s="43"/>
      <c r="P9" s="43"/>
      <c r="Q9" s="43"/>
      <c r="R9" s="43"/>
      <c r="S9" s="43"/>
      <c r="T9" s="43"/>
      <c r="U9" s="43"/>
      <c r="V9" s="43"/>
      <c r="W9" s="43"/>
      <c r="X9" s="43"/>
    </row>
    <row r="10" spans="1:24" ht="14.25" x14ac:dyDescent="0.2">
      <c r="A10" s="46"/>
      <c r="B10" s="46"/>
      <c r="C10" s="49" t="s">
        <v>102</v>
      </c>
      <c r="D10" s="46"/>
      <c r="E10" s="46"/>
      <c r="F10" s="46"/>
      <c r="G10" s="46"/>
      <c r="H10" s="46"/>
      <c r="I10" s="43"/>
      <c r="J10" s="43"/>
      <c r="K10" s="43"/>
      <c r="L10" s="43"/>
      <c r="M10" s="43"/>
      <c r="N10" s="43"/>
      <c r="O10" s="43"/>
      <c r="P10" s="43"/>
      <c r="Q10" s="43"/>
      <c r="R10" s="43"/>
      <c r="S10" s="43"/>
      <c r="T10" s="43"/>
      <c r="U10" s="43"/>
      <c r="V10" s="43"/>
      <c r="W10" s="43"/>
      <c r="X10" s="43"/>
    </row>
    <row r="11" spans="1:24" ht="15" x14ac:dyDescent="0.25">
      <c r="A11" s="46"/>
      <c r="B11" s="46"/>
      <c r="C11" s="50"/>
      <c r="D11" s="46"/>
      <c r="E11" s="46"/>
      <c r="F11" s="46"/>
      <c r="G11" s="46"/>
      <c r="H11" s="46"/>
      <c r="I11" s="43"/>
      <c r="J11" s="43"/>
      <c r="K11" s="43"/>
      <c r="L11" s="43"/>
      <c r="M11" s="43"/>
      <c r="N11" s="43"/>
      <c r="O11" s="43"/>
      <c r="P11" s="43"/>
      <c r="Q11" s="43"/>
      <c r="R11" s="43"/>
      <c r="S11" s="43"/>
      <c r="T11" s="43"/>
      <c r="U11" s="43"/>
      <c r="V11" s="43"/>
      <c r="W11" s="43"/>
      <c r="X11" s="43"/>
    </row>
    <row r="12" spans="1:24" ht="15" x14ac:dyDescent="0.25">
      <c r="A12" s="46"/>
      <c r="B12" s="46"/>
      <c r="C12" s="50"/>
      <c r="D12" s="46"/>
      <c r="E12" s="46"/>
      <c r="F12" s="46"/>
      <c r="G12" s="46"/>
      <c r="H12" s="46"/>
      <c r="I12" s="43"/>
      <c r="J12" s="43"/>
      <c r="K12" s="43"/>
      <c r="L12" s="43"/>
      <c r="M12" s="43"/>
      <c r="N12" s="43"/>
      <c r="O12" s="43"/>
      <c r="P12" s="43"/>
      <c r="Q12" s="43"/>
      <c r="R12" s="43"/>
      <c r="S12" s="43"/>
      <c r="T12" s="43"/>
      <c r="U12" s="43"/>
      <c r="V12" s="43"/>
      <c r="W12" s="43"/>
      <c r="X12" s="43"/>
    </row>
    <row r="13" spans="1:24" ht="14.25" x14ac:dyDescent="0.2">
      <c r="A13" s="46"/>
      <c r="B13" s="46"/>
      <c r="C13" s="51"/>
      <c r="D13" s="46"/>
      <c r="E13" s="46"/>
      <c r="F13" s="46"/>
      <c r="G13" s="46"/>
      <c r="H13" s="46"/>
      <c r="I13" s="43"/>
      <c r="J13" s="43"/>
      <c r="K13" s="43"/>
      <c r="L13" s="43"/>
      <c r="M13" s="43"/>
      <c r="N13" s="43"/>
      <c r="O13" s="43"/>
      <c r="P13" s="43"/>
      <c r="Q13" s="43"/>
      <c r="R13" s="43"/>
      <c r="S13" s="43"/>
      <c r="T13" s="43"/>
      <c r="U13" s="43"/>
      <c r="V13" s="43"/>
      <c r="W13" s="43"/>
      <c r="X13" s="43"/>
    </row>
    <row r="14" spans="1:24" ht="14.25" x14ac:dyDescent="0.2">
      <c r="A14" s="46"/>
      <c r="B14" s="46"/>
      <c r="C14" s="51"/>
      <c r="D14" s="46"/>
      <c r="E14" s="46"/>
      <c r="F14" s="46"/>
      <c r="G14" s="46"/>
      <c r="H14" s="46"/>
      <c r="I14" s="43"/>
      <c r="J14" s="43"/>
      <c r="K14" s="43"/>
      <c r="L14" s="43"/>
      <c r="M14" s="43"/>
      <c r="N14" s="43"/>
      <c r="O14" s="43"/>
      <c r="P14" s="43"/>
      <c r="Q14" s="43"/>
      <c r="R14" s="43"/>
      <c r="S14" s="43"/>
      <c r="T14" s="43"/>
      <c r="U14" s="43"/>
      <c r="V14" s="43"/>
      <c r="W14" s="43"/>
      <c r="X14" s="43"/>
    </row>
    <row r="15" spans="1:24" ht="15" x14ac:dyDescent="0.25">
      <c r="A15" s="46"/>
      <c r="B15" s="46"/>
      <c r="C15" s="50" t="s">
        <v>103</v>
      </c>
      <c r="D15" s="46"/>
      <c r="E15" s="46"/>
      <c r="F15" s="46"/>
      <c r="G15" s="46"/>
      <c r="H15" s="46"/>
      <c r="I15" s="43"/>
      <c r="J15" s="43"/>
      <c r="K15" s="43"/>
      <c r="L15" s="43"/>
      <c r="M15" s="43"/>
      <c r="N15" s="43"/>
      <c r="O15" s="43"/>
      <c r="P15" s="43"/>
      <c r="Q15" s="43"/>
      <c r="R15" s="43"/>
      <c r="S15" s="43"/>
      <c r="T15" s="43"/>
      <c r="U15" s="43"/>
      <c r="V15" s="43"/>
      <c r="W15" s="43"/>
      <c r="X15" s="43"/>
    </row>
    <row r="16" spans="1:24" ht="14.25" x14ac:dyDescent="0.2">
      <c r="A16" s="46"/>
      <c r="B16" s="46"/>
      <c r="C16" s="46" t="s">
        <v>104</v>
      </c>
      <c r="D16" s="46"/>
      <c r="E16" s="46"/>
      <c r="F16" s="46"/>
      <c r="G16" s="46"/>
      <c r="H16" s="46"/>
      <c r="I16" s="43"/>
      <c r="J16" s="43"/>
      <c r="K16" s="43"/>
      <c r="L16" s="43"/>
      <c r="M16" s="43"/>
      <c r="N16" s="43"/>
      <c r="O16" s="43"/>
      <c r="P16" s="43"/>
      <c r="Q16" s="43"/>
      <c r="R16" s="43"/>
      <c r="S16" s="43"/>
      <c r="T16" s="43"/>
      <c r="U16" s="43"/>
      <c r="V16" s="43"/>
      <c r="W16" s="43"/>
      <c r="X16" s="43"/>
    </row>
    <row r="17" spans="1:24" ht="14.25" x14ac:dyDescent="0.2">
      <c r="A17" s="46"/>
      <c r="B17" s="46"/>
      <c r="C17" s="46" t="s">
        <v>105</v>
      </c>
      <c r="D17" s="46"/>
      <c r="E17" s="46"/>
      <c r="F17" s="46"/>
      <c r="G17" s="46"/>
      <c r="H17" s="46"/>
      <c r="I17" s="43"/>
      <c r="J17" s="43"/>
      <c r="K17" s="43"/>
      <c r="L17" s="43"/>
      <c r="M17" s="43"/>
      <c r="N17" s="43"/>
      <c r="O17" s="43"/>
      <c r="P17" s="43"/>
      <c r="Q17" s="43"/>
      <c r="R17" s="43"/>
      <c r="S17" s="43"/>
      <c r="T17" s="43"/>
      <c r="U17" s="43"/>
      <c r="V17" s="43"/>
      <c r="W17" s="43"/>
      <c r="X17" s="43"/>
    </row>
    <row r="18" spans="1:24" ht="14.25" x14ac:dyDescent="0.2">
      <c r="A18" s="46"/>
      <c r="B18" s="46"/>
      <c r="C18" s="46"/>
      <c r="D18" s="46"/>
      <c r="E18" s="46"/>
      <c r="F18" s="46"/>
      <c r="G18" s="46"/>
      <c r="H18" s="46"/>
      <c r="I18" s="43"/>
      <c r="J18" s="43"/>
      <c r="K18" s="43"/>
      <c r="L18" s="43"/>
      <c r="M18" s="43"/>
      <c r="N18" s="43"/>
      <c r="O18" s="43"/>
      <c r="P18" s="43"/>
      <c r="Q18" s="43"/>
      <c r="R18" s="43"/>
      <c r="S18" s="43"/>
      <c r="T18" s="43"/>
      <c r="U18" s="43"/>
      <c r="V18" s="43"/>
      <c r="W18" s="43"/>
      <c r="X18" s="43"/>
    </row>
    <row r="19" spans="1:24" ht="15" x14ac:dyDescent="0.25">
      <c r="A19" s="46"/>
      <c r="B19" s="46"/>
      <c r="C19" s="50" t="s">
        <v>106</v>
      </c>
      <c r="D19" s="46"/>
      <c r="E19" s="46"/>
      <c r="F19" s="46"/>
      <c r="G19" s="46"/>
      <c r="H19" s="46"/>
      <c r="I19" s="43"/>
      <c r="J19" s="43"/>
      <c r="K19" s="43"/>
      <c r="L19" s="43"/>
      <c r="M19" s="43"/>
      <c r="N19" s="43"/>
      <c r="O19" s="43"/>
      <c r="P19" s="43"/>
      <c r="Q19" s="43"/>
      <c r="R19" s="43"/>
      <c r="S19" s="43"/>
      <c r="T19" s="43"/>
      <c r="U19" s="43"/>
      <c r="V19" s="43"/>
      <c r="W19" s="43"/>
      <c r="X19" s="43"/>
    </row>
    <row r="20" spans="1:24" ht="15" x14ac:dyDescent="0.25">
      <c r="A20" s="46"/>
      <c r="B20" s="46"/>
      <c r="C20" s="50" t="s">
        <v>103</v>
      </c>
      <c r="D20" s="46"/>
      <c r="E20" s="46"/>
      <c r="F20" s="46"/>
      <c r="G20" s="46"/>
      <c r="H20" s="46"/>
      <c r="I20" s="43"/>
      <c r="J20" s="43"/>
      <c r="K20" s="43"/>
      <c r="L20" s="43"/>
      <c r="M20" s="43"/>
      <c r="N20" s="43"/>
      <c r="O20" s="43"/>
      <c r="P20" s="43"/>
      <c r="Q20" s="43"/>
      <c r="R20" s="43"/>
      <c r="S20" s="43"/>
      <c r="T20" s="43"/>
      <c r="U20" s="43"/>
      <c r="V20" s="43"/>
      <c r="W20" s="43"/>
      <c r="X20" s="43"/>
    </row>
    <row r="21" spans="1:24" ht="14.25" x14ac:dyDescent="0.2">
      <c r="A21" s="46"/>
      <c r="B21" s="46"/>
      <c r="C21" s="46" t="s">
        <v>107</v>
      </c>
      <c r="D21" s="46"/>
      <c r="E21" s="46"/>
      <c r="F21" s="46"/>
      <c r="G21" s="46"/>
      <c r="H21" s="46"/>
      <c r="I21" s="43"/>
      <c r="J21" s="43"/>
      <c r="K21" s="43"/>
      <c r="L21" s="43"/>
      <c r="M21" s="43"/>
      <c r="N21" s="43"/>
      <c r="O21" s="43"/>
      <c r="P21" s="43"/>
      <c r="Q21" s="43"/>
      <c r="R21" s="43"/>
      <c r="S21" s="43"/>
      <c r="T21" s="43"/>
      <c r="U21" s="43"/>
      <c r="V21" s="43"/>
      <c r="W21" s="43"/>
      <c r="X21" s="43"/>
    </row>
    <row r="22" spans="1:24" ht="14.25" x14ac:dyDescent="0.2">
      <c r="A22" s="46"/>
      <c r="B22" s="46"/>
      <c r="C22" s="46" t="s">
        <v>108</v>
      </c>
      <c r="D22" s="46"/>
      <c r="E22" s="46"/>
      <c r="F22" s="46"/>
      <c r="G22" s="46"/>
      <c r="H22" s="46"/>
      <c r="I22" s="43"/>
      <c r="J22" s="43"/>
      <c r="K22" s="43"/>
      <c r="L22" s="43"/>
      <c r="M22" s="43"/>
      <c r="N22" s="43"/>
      <c r="O22" s="43"/>
      <c r="P22" s="43"/>
      <c r="Q22" s="43"/>
      <c r="R22" s="43"/>
      <c r="S22" s="43"/>
      <c r="T22" s="43"/>
      <c r="U22" s="43"/>
      <c r="V22" s="43"/>
      <c r="W22" s="43"/>
      <c r="X22" s="43"/>
    </row>
    <row r="23" spans="1:24" ht="14.25" x14ac:dyDescent="0.2">
      <c r="A23" s="46"/>
      <c r="B23" s="46"/>
      <c r="C23" s="46"/>
      <c r="D23" s="46"/>
      <c r="E23" s="46"/>
      <c r="F23" s="46"/>
      <c r="G23" s="46"/>
      <c r="H23" s="46"/>
      <c r="I23" s="43"/>
      <c r="J23" s="43"/>
      <c r="K23" s="43"/>
      <c r="L23" s="43"/>
      <c r="M23" s="43"/>
      <c r="N23" s="43"/>
      <c r="O23" s="43"/>
      <c r="P23" s="43"/>
      <c r="Q23" s="43"/>
      <c r="R23" s="43"/>
      <c r="S23" s="43"/>
      <c r="T23" s="43"/>
      <c r="U23" s="43"/>
      <c r="V23" s="43"/>
      <c r="W23" s="43"/>
      <c r="X23" s="43"/>
    </row>
    <row r="24" spans="1:24" ht="14.25" x14ac:dyDescent="0.2">
      <c r="A24" s="46"/>
      <c r="B24" s="46"/>
      <c r="C24" s="46"/>
      <c r="D24" s="46"/>
      <c r="E24" s="46"/>
      <c r="F24" s="46"/>
      <c r="G24" s="46"/>
      <c r="H24" s="46"/>
      <c r="I24" s="43"/>
      <c r="J24" s="43"/>
      <c r="K24" s="43"/>
      <c r="L24" s="43"/>
      <c r="M24" s="43"/>
      <c r="N24" s="43"/>
      <c r="O24" s="43"/>
      <c r="P24" s="43"/>
      <c r="Q24" s="43"/>
      <c r="R24" s="43"/>
      <c r="S24" s="43"/>
      <c r="T24" s="43"/>
      <c r="U24" s="43"/>
      <c r="V24" s="43"/>
      <c r="W24" s="43"/>
      <c r="X24" s="43"/>
    </row>
    <row r="25" spans="1:24" ht="14.25" x14ac:dyDescent="0.2">
      <c r="A25" s="46"/>
      <c r="B25" s="46"/>
      <c r="C25" s="46"/>
      <c r="D25" s="46"/>
      <c r="E25" s="46"/>
      <c r="F25" s="46"/>
      <c r="G25" s="46"/>
      <c r="H25" s="46"/>
      <c r="I25" s="43"/>
      <c r="J25" s="43"/>
      <c r="K25" s="43"/>
      <c r="L25" s="43"/>
      <c r="M25" s="43"/>
      <c r="N25" s="43"/>
      <c r="O25" s="43"/>
      <c r="P25" s="43"/>
      <c r="Q25" s="43"/>
      <c r="R25" s="43"/>
      <c r="S25" s="43"/>
      <c r="T25" s="43"/>
      <c r="U25" s="43"/>
      <c r="V25" s="43"/>
      <c r="W25" s="43"/>
      <c r="X25" s="43"/>
    </row>
    <row r="26" spans="1:24" ht="14.25" x14ac:dyDescent="0.2">
      <c r="A26" s="46"/>
      <c r="B26" s="46"/>
      <c r="C26" s="46"/>
      <c r="D26" s="46"/>
      <c r="E26" s="46"/>
      <c r="F26" s="46"/>
      <c r="G26" s="46"/>
      <c r="H26" s="46"/>
      <c r="I26" s="43"/>
      <c r="J26" s="43"/>
      <c r="K26" s="43"/>
      <c r="L26" s="43"/>
      <c r="M26" s="43"/>
      <c r="N26" s="43"/>
      <c r="O26" s="43"/>
      <c r="P26" s="43"/>
      <c r="Q26" s="43"/>
      <c r="R26" s="43"/>
      <c r="S26" s="43"/>
      <c r="T26" s="43"/>
      <c r="U26" s="43"/>
      <c r="V26" s="43"/>
      <c r="W26" s="43"/>
      <c r="X26" s="43"/>
    </row>
    <row r="27" spans="1:24" ht="14.25" x14ac:dyDescent="0.2">
      <c r="A27" s="46"/>
      <c r="B27" s="46"/>
      <c r="C27" s="46"/>
      <c r="D27" s="46"/>
      <c r="E27" s="46"/>
      <c r="F27" s="46"/>
      <c r="G27" s="46"/>
      <c r="H27" s="46"/>
      <c r="I27" s="43"/>
      <c r="J27" s="43"/>
      <c r="K27" s="43"/>
      <c r="L27" s="43"/>
      <c r="M27" s="43"/>
      <c r="N27" s="43"/>
      <c r="O27" s="43"/>
      <c r="P27" s="43"/>
      <c r="Q27" s="43"/>
      <c r="R27" s="43"/>
      <c r="S27" s="43"/>
      <c r="T27" s="43"/>
      <c r="U27" s="43"/>
      <c r="V27" s="43"/>
      <c r="W27" s="43"/>
      <c r="X27" s="43"/>
    </row>
    <row r="28" spans="1:24" ht="14.25" x14ac:dyDescent="0.2">
      <c r="A28" s="46"/>
      <c r="B28" s="46"/>
      <c r="C28" s="46"/>
      <c r="D28" s="46"/>
      <c r="E28" s="46"/>
      <c r="F28" s="46"/>
      <c r="G28" s="46"/>
      <c r="H28" s="46"/>
      <c r="I28" s="43"/>
      <c r="J28" s="43"/>
      <c r="K28" s="43"/>
      <c r="L28" s="43"/>
      <c r="M28" s="43"/>
      <c r="N28" s="43"/>
      <c r="O28" s="43"/>
      <c r="P28" s="43"/>
      <c r="Q28" s="43"/>
      <c r="R28" s="43"/>
      <c r="S28" s="43"/>
      <c r="T28" s="43"/>
      <c r="U28" s="43"/>
      <c r="V28" s="43"/>
      <c r="W28" s="43"/>
      <c r="X28" s="43"/>
    </row>
    <row r="29" spans="1:24" ht="14.25" x14ac:dyDescent="0.2">
      <c r="A29" s="46"/>
      <c r="B29" s="46"/>
      <c r="C29" s="46"/>
      <c r="D29" s="46"/>
      <c r="E29" s="46"/>
      <c r="F29" s="46"/>
      <c r="G29" s="46"/>
      <c r="H29" s="46"/>
      <c r="I29" s="43"/>
      <c r="J29" s="43"/>
      <c r="K29" s="43"/>
      <c r="L29" s="43"/>
      <c r="M29" s="43"/>
      <c r="N29" s="43"/>
      <c r="O29" s="43"/>
      <c r="P29" s="43"/>
      <c r="Q29" s="43"/>
      <c r="R29" s="43"/>
      <c r="S29" s="43"/>
      <c r="T29" s="43"/>
      <c r="U29" s="43"/>
      <c r="V29" s="43"/>
      <c r="W29" s="43"/>
      <c r="X29" s="43"/>
    </row>
    <row r="30" spans="1:24" ht="14.25" x14ac:dyDescent="0.2">
      <c r="A30" s="46"/>
      <c r="B30" s="46"/>
      <c r="C30" s="46"/>
      <c r="D30" s="46"/>
      <c r="E30" s="46"/>
      <c r="F30" s="46"/>
      <c r="G30" s="46"/>
      <c r="H30" s="46"/>
      <c r="I30" s="43"/>
      <c r="J30" s="43"/>
      <c r="K30" s="43"/>
      <c r="L30" s="43"/>
      <c r="M30" s="43"/>
      <c r="N30" s="43"/>
      <c r="O30" s="43"/>
      <c r="P30" s="43"/>
      <c r="Q30" s="43"/>
      <c r="R30" s="43"/>
      <c r="S30" s="43"/>
      <c r="T30" s="43"/>
      <c r="U30" s="43"/>
      <c r="V30" s="43"/>
      <c r="W30" s="43"/>
      <c r="X30" s="43"/>
    </row>
    <row r="31" spans="1:24" ht="14.25" x14ac:dyDescent="0.2">
      <c r="A31" s="46"/>
      <c r="B31" s="46"/>
      <c r="C31" s="46"/>
      <c r="D31" s="46"/>
      <c r="E31" s="46"/>
      <c r="F31" s="46"/>
      <c r="G31" s="46"/>
      <c r="H31" s="46"/>
      <c r="I31" s="43"/>
      <c r="J31" s="43"/>
      <c r="K31" s="43"/>
      <c r="L31" s="43"/>
      <c r="M31" s="43"/>
      <c r="N31" s="43"/>
      <c r="O31" s="43"/>
      <c r="P31" s="43"/>
      <c r="Q31" s="43"/>
      <c r="R31" s="43"/>
      <c r="S31" s="43"/>
      <c r="T31" s="43"/>
      <c r="U31" s="43"/>
      <c r="V31" s="43"/>
      <c r="W31" s="43"/>
      <c r="X31" s="43"/>
    </row>
    <row r="32" spans="1:24" ht="14.25" x14ac:dyDescent="0.2">
      <c r="A32" s="46"/>
      <c r="B32" s="46"/>
      <c r="C32" s="46"/>
      <c r="D32" s="46"/>
      <c r="E32" s="46"/>
      <c r="F32" s="46"/>
      <c r="G32" s="46"/>
      <c r="H32" s="46"/>
      <c r="I32" s="43"/>
      <c r="J32" s="43"/>
      <c r="K32" s="43"/>
      <c r="L32" s="43"/>
      <c r="M32" s="43"/>
      <c r="N32" s="43"/>
      <c r="O32" s="43"/>
      <c r="P32" s="43"/>
      <c r="Q32" s="43"/>
      <c r="R32" s="43"/>
      <c r="S32" s="43"/>
      <c r="T32" s="43"/>
      <c r="U32" s="43"/>
      <c r="V32" s="43"/>
      <c r="W32" s="43"/>
      <c r="X32" s="43"/>
    </row>
    <row r="33" spans="1:24" ht="14.25" x14ac:dyDescent="0.2">
      <c r="A33" s="46"/>
      <c r="B33" s="46"/>
      <c r="C33" s="46"/>
      <c r="D33" s="46"/>
      <c r="E33" s="46"/>
      <c r="F33" s="46"/>
      <c r="G33" s="46"/>
      <c r="H33" s="46"/>
      <c r="I33" s="43"/>
      <c r="J33" s="43"/>
      <c r="K33" s="43"/>
      <c r="L33" s="43"/>
      <c r="M33" s="43"/>
      <c r="N33" s="43"/>
      <c r="O33" s="43"/>
      <c r="P33" s="43"/>
      <c r="Q33" s="43"/>
      <c r="R33" s="43"/>
      <c r="S33" s="43"/>
      <c r="T33" s="43"/>
      <c r="U33" s="43"/>
      <c r="V33" s="43"/>
      <c r="W33" s="43"/>
      <c r="X33" s="43"/>
    </row>
    <row r="34" spans="1:24" ht="14.25" x14ac:dyDescent="0.2">
      <c r="A34" s="46"/>
      <c r="B34" s="46"/>
      <c r="C34" s="46"/>
      <c r="D34" s="46"/>
      <c r="E34" s="46"/>
      <c r="F34" s="46"/>
      <c r="G34" s="46"/>
      <c r="H34" s="46"/>
      <c r="I34" s="43"/>
      <c r="J34" s="43"/>
      <c r="K34" s="43"/>
      <c r="L34" s="43"/>
      <c r="M34" s="43"/>
      <c r="N34" s="43"/>
      <c r="O34" s="43"/>
      <c r="P34" s="43"/>
      <c r="Q34" s="43"/>
      <c r="R34" s="43"/>
      <c r="S34" s="43"/>
      <c r="T34" s="43"/>
      <c r="U34" s="43"/>
      <c r="V34" s="43"/>
      <c r="W34" s="43"/>
      <c r="X34" s="43"/>
    </row>
    <row r="35" spans="1:24" ht="14.25" x14ac:dyDescent="0.2">
      <c r="A35" s="46"/>
      <c r="B35" s="46"/>
      <c r="C35" s="46"/>
      <c r="D35" s="46"/>
      <c r="E35" s="46"/>
      <c r="F35" s="46"/>
      <c r="G35" s="46"/>
      <c r="H35" s="46"/>
      <c r="I35" s="43"/>
      <c r="J35" s="43"/>
      <c r="K35" s="43"/>
      <c r="L35" s="43"/>
      <c r="M35" s="43"/>
      <c r="N35" s="43"/>
      <c r="O35" s="43"/>
      <c r="P35" s="43"/>
      <c r="Q35" s="43"/>
      <c r="R35" s="43"/>
      <c r="S35" s="43"/>
      <c r="T35" s="43"/>
      <c r="U35" s="43"/>
      <c r="V35" s="43"/>
      <c r="W35" s="43"/>
      <c r="X35" s="43"/>
    </row>
    <row r="36" spans="1:24" ht="14.25" x14ac:dyDescent="0.2">
      <c r="A36" s="46"/>
      <c r="B36" s="46"/>
      <c r="C36" s="46"/>
      <c r="D36" s="46"/>
      <c r="E36" s="46"/>
      <c r="F36" s="46"/>
      <c r="G36" s="46"/>
      <c r="H36" s="46"/>
      <c r="I36" s="43"/>
      <c r="J36" s="43"/>
      <c r="K36" s="43"/>
      <c r="L36" s="43"/>
      <c r="M36" s="43"/>
      <c r="N36" s="43"/>
      <c r="O36" s="43"/>
      <c r="P36" s="43"/>
      <c r="Q36" s="43"/>
      <c r="R36" s="43"/>
      <c r="S36" s="43"/>
      <c r="T36" s="43"/>
      <c r="U36" s="43"/>
      <c r="V36" s="43"/>
      <c r="W36" s="43"/>
      <c r="X36" s="43"/>
    </row>
    <row r="37" spans="1:24" ht="14.25" x14ac:dyDescent="0.2">
      <c r="A37" s="46"/>
      <c r="B37" s="46"/>
      <c r="C37" s="46"/>
      <c r="D37" s="46"/>
      <c r="E37" s="46"/>
      <c r="F37" s="46"/>
      <c r="G37" s="46"/>
      <c r="H37" s="46"/>
      <c r="I37" s="43"/>
      <c r="J37" s="43"/>
      <c r="K37" s="43"/>
      <c r="L37" s="43"/>
      <c r="M37" s="43"/>
      <c r="N37" s="43"/>
      <c r="O37" s="43"/>
      <c r="P37" s="43"/>
      <c r="Q37" s="43"/>
      <c r="R37" s="43"/>
      <c r="S37" s="43"/>
      <c r="T37" s="43"/>
      <c r="U37" s="43"/>
      <c r="V37" s="43"/>
      <c r="W37" s="43"/>
      <c r="X37" s="43"/>
    </row>
    <row r="38" spans="1:24" ht="14.25" x14ac:dyDescent="0.2">
      <c r="A38" s="46"/>
      <c r="B38" s="46"/>
      <c r="C38" s="46"/>
      <c r="D38" s="46"/>
      <c r="E38" s="46"/>
      <c r="F38" s="46"/>
      <c r="G38" s="46"/>
      <c r="H38" s="46"/>
      <c r="I38" s="43"/>
      <c r="J38" s="43"/>
      <c r="K38" s="43"/>
      <c r="L38" s="43"/>
      <c r="M38" s="43"/>
      <c r="N38" s="43"/>
      <c r="O38" s="43"/>
      <c r="P38" s="43"/>
      <c r="Q38" s="43"/>
      <c r="R38" s="43"/>
      <c r="S38" s="43"/>
      <c r="T38" s="43"/>
      <c r="U38" s="43"/>
      <c r="V38" s="43"/>
      <c r="W38" s="43"/>
      <c r="X38" s="43"/>
    </row>
    <row r="39" spans="1:24" ht="14.25" x14ac:dyDescent="0.2">
      <c r="A39" s="46"/>
      <c r="B39" s="46"/>
      <c r="C39" s="46"/>
      <c r="D39" s="46"/>
      <c r="E39" s="46"/>
      <c r="F39" s="46"/>
      <c r="G39" s="46"/>
      <c r="H39" s="46"/>
      <c r="I39" s="43"/>
      <c r="J39" s="43"/>
      <c r="K39" s="43"/>
      <c r="L39" s="43"/>
      <c r="M39" s="43"/>
      <c r="N39" s="43"/>
      <c r="O39" s="43"/>
      <c r="P39" s="43"/>
      <c r="Q39" s="43"/>
      <c r="R39" s="43"/>
      <c r="S39" s="43"/>
      <c r="T39" s="43"/>
      <c r="U39" s="43"/>
      <c r="V39" s="43"/>
      <c r="W39" s="43"/>
      <c r="X39" s="43"/>
    </row>
    <row r="40" spans="1:24" x14ac:dyDescent="0.2"/>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trace</vt:lpstr>
      <vt:lpstr>Summary Trace</vt:lpstr>
      <vt:lpstr>Summary</vt:lpstr>
      <vt:lpstr>Trace Summary</vt:lpstr>
      <vt:lpstr>Cover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Barclay</dc:creator>
  <cp:lastModifiedBy>David Barclay</cp:lastModifiedBy>
  <dcterms:created xsi:type="dcterms:W3CDTF">2026-01-18T12:04:34Z</dcterms:created>
  <dcterms:modified xsi:type="dcterms:W3CDTF">2026-01-18T12:04:56Z</dcterms:modified>
</cp:coreProperties>
</file>